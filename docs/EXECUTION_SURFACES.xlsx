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yers" sheetId="2" state="visible" r:id="rId2"/>
    <sheet name="Pipeline steps" sheetId="3" state="visible" r:id="rId3"/>
    <sheet name="Remediation" sheetId="4" state="visible" r:id="rId4"/>
    <sheet name="Equality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44" customWidth="1" min="4" max="4"/>
    <col width="34" customWidth="1" min="5" max="5"/>
    <col width="48" customWidth="1" min="6" max="6"/>
  </cols>
  <sheetData>
    <row r="1">
      <c r="A1" s="1" t="inlineStr">
        <is>
          <t>CloudBQ new-deals — three scenarios, one pipeline</t>
        </is>
      </c>
    </row>
    <row r="2" ht="240" customHeight="1">
      <c r="A2" s="2" t="inlineStr">
        <is>
          <t>Verdict (pre-flight, 2026-10-05, commit 9e7e18a and the critic fixes that followed — no scenario has yet run against GCP): the three scenarios are built to converge on
the same BigQuery state. A (Cloud Run function, cloud_function_new_deals/), B2 (n8n on Cloud Run, workflows/NEW_DEALS_FULL.json) and
C (BigQuery scheduled script sql/new_deals_weekly.sql + Node write-back job writeback/) all MERGE into hubspot.new_deals on deal_id
with the same frozen columns (deal_id, first_seen_run, day1_hot_score, day1_hot_flag), advance a row of hubspot.report_state only after
that MERGE, score with one set of constants (scoring/hot_score_v1.constants.json) pinned by shared vectors, and write the same audit
tables (new_deals_runs, new_deals_history, writeback_log). That is the parallel lane: L5, L7, L8, L13. L3, L6, L11, L12 are
Conditional (same clock, same twin horizon, a dev dataset for the SQL rehearsal, a covered replay window); the other ten layers are
Divergent by mechanism (deploy unit, identity, secrets, extraction source, delivery, write-back, access, concurrency, observability,
cost) and each names the file that makes them equivalent. Pass 0 (scaffold): commits 15c926b scoring, b5c37ab + c6a7cc9 scenario A,
913f63a scenario C, 9e7e18a scenario B; offline evidence tests/test_hot_score.py (15 vectors, JS == Python), tests/test_main_offline.py
(6 tests), tests/test_n8n_code.py (Code node == main.shape(); retired with B2 in pass 3 phase 3), DRYRUN=1 rehearsals of deploy.sh, sql/apply.sh, deploy/n8n/*.sh,
writeback/deploy_job.sh. The probe for pass 1 is `deploy.sh probe` / `deploy.sh status` (bq over new_deals, new_deals_runs,
report_state) — paste its dated output here after the first live run. Recommendation: A as the production orchestrator with B1
(workflows/NEW_DEALS_DELIVERY.json) as its delivery tail and C's compute views + write-back job as the Breeze-facing extension; B2 only if
the n8n editor must be the operating surface. 2026-10-21 (pass 3 phase 3): B2 retired (D6); L5/L6/L7/L13 are one implementation,
sql/new_deals_batch.sql over the raw root, that every lane CALLs.</t>
        </is>
      </c>
    </row>
    <row r="4">
      <c r="A4" s="3" t="inlineStr">
        <is>
          <t>Motion</t>
        </is>
      </c>
      <c r="B4" s="3" t="inlineStr">
        <is>
          <t>Acquire</t>
        </is>
      </c>
      <c r="C4" s="3" t="inlineStr">
        <is>
          <t>Ubuntu</t>
        </is>
      </c>
      <c r="D4" s="3" t="inlineStr">
        <is>
          <t>Driver</t>
        </is>
      </c>
      <c r="E4" s="3" t="inlineStr">
        <is>
          <t>State lives in</t>
        </is>
      </c>
      <c r="F4" s="3" t="inlineStr">
        <is>
          <t>DevOps assessment</t>
        </is>
      </c>
    </row>
    <row r="5">
      <c r="A5" s="4" t="inlineStr">
        <is>
          <t>A · Cloud Run function + Cloud Scheduler</t>
        </is>
      </c>
      <c r="B5" s="4" t="inlineStr">
        <is>
          <t>git clone the branch; cloud_function_new_deals/deploy.sh is the execution surface (sub-commands check-env enable-apis iam tables secret
deploy invoker | dry | run | enable | probe | status | replay; DRYRUN=1 prints every gcloud/bq command). Deploy unit = the directory,
built by `gcloud run deploy $FN --source cloud_function_new_deals --function new_deals_report --base-image python312`.</t>
        </is>
      </c>
      <c r="C5" s="4" t="inlineStr">
        <is>
          <t>Cloud Run service (python312 base image, functions-framework), region $REGION (europe-west6), --no-allow-unauthenticated,
--service-account new-deals-fn@, --timeout 540 --memory 512Mi --max-instances 1 --concurrency 1, scale to zero.</t>
        </is>
      </c>
      <c r="D5" s="4" t="inlineStr">
        <is>
          <t>Cloud Scheduler HTTP jobs new-deals-SEALSQ (0 7 * * 1) and new-deals-ICALPS (20 7 * * 1) Europe/Zurich, OIDC as the SA with
audience = service URL, --attempt-deadline 600s, 3 retries, created PAUSED and resumed by `deploy.sh enable` after `deploy.sh dry`;
manual: curl with `gcloud auth print-identity-token`; ?dry_run=1 lands with mode dry and leaves one runs row (D1), nothing in the sink or the state.</t>
        </is>
      </c>
      <c r="E5" s="4" t="inlineStr">
        <is>
          <t>hubspot.report_state (watermark + lock_until lease per NEW_DEALS_&lt;entity&gt;), hubspot.new_deals (MERGE on deal_id), hubspot.new_deals_runs + new_deals_history (audit), Secret Manager hubspot-token:&lt;pinned&gt;,
.env (gitignored) for PROJECT/REGION/DATASET.</t>
        </is>
      </c>
      <c r="F5" s="4" t="inlineStr">
        <is>
          <t>Fully programmed; offline tests prove the dry gate (D1), land → CALL new_deals_batch → watermark, the CALL contract, both failure paths, 409 on an
overlapping lease, event mode never touching the watermark. First-deploy expectation medium: one or two IAM / API iterations, and
new_deals_history must exist before the first live run (R44). Cheapest (&lt; $1/month) and the only keyless lane.</t>
        </is>
      </c>
    </row>
    <row r="6">
      <c r="A6" s="4" t="inlineStr">
        <is>
          <t>B · n8n on Cloud Run (B1 delivery tail; B2 full pipeline)</t>
        </is>
      </c>
      <c r="B6" s="4" t="inlineStr">
        <is>
          <t>deploy/n8n/{secrets.sh, cloudsql.sh, deploy_n8n.sh, import_workflows.sh} (scheduler.sh retired with B2); service.yaml applied with
`gcloud run services replace` (pinned image docker.io/n8nio/n8n:2.41.7); workflows/*.json generated by workflows/src/build_workflow.py
(stable ids → re-import updates in place) and imported through the public REST API with X-N8N-API-KEY.</t>
        </is>
      </c>
      <c r="C6" s="4" t="inlineStr">
        <is>
          <t>n8n container on Cloud Run: minScale 0 / maxScale 1, cpu-throttling false, timeoutSeconds 900, Cloud SQL Postgres n8n-db (db-f1-micro)
via /cloudsql, N8N_ENCRYPTION_KEY + DB password from Secret Manager, N8N_CONCURRENCY_PRODUCTION_LIMIT=1, N8N_ENDPOINT_HEALTH=health,
EXECUTIONS_DATA_MAX_AGE=2160.</t>
        </is>
      </c>
      <c r="D6" s="4" t="inlineStr">
        <is>
          <t>B1: the function POSTs its payload to /webhook/new-deals (Header Auth X-Delivery-Token). B2: Cloud Scheduler jobs n8n-new-deals-SEALSQ /
-ICALPS (same cron and time zone as A) POST /webhook/new-deals-run?entity=…, attempt-deadline 900s, 3 retries, created PAUSED;
?dry_run=1 on the webhook responds without writing; manual execution in the editor is the n8n-native rehearsal.</t>
        </is>
      </c>
      <c r="E6" s="4" t="inlineStr">
        <is>
          <t>Same hubspot.* tables as A (B2 MERGE/history/watermark/run-log SQL is generated from bigquery_schema.sql); n8n credentials and
executions in Cloud SQL (SA key n8n-bq, HubSpot token copy, SMTP, Header Auth); secrets n8n-encryption-key, n8n-db-password,
n8n-webhook-token in Secret Manager.</t>
        </is>
      </c>
      <c r="F6" s="4" t="inlineStr">
        <is>
          <t>B1 is the natural delivery tail for A and C (XLSX + email, zero-row branch, Header Auth). B2 reaches the same table/watermark state
(Code node == main.shape() offline) but re-implements the window, scorer, MERGE and watermark in JSON, needs an exported SA key and a
token copy inside n8n, has no lease row, and costs ≈ $9–11/month for the Cloud SQL floor even at scale-to-zero.</t>
        </is>
      </c>
    </row>
    <row r="7">
      <c r="A7" s="4" t="inlineStr">
        <is>
          <t>C · BigQuery compute + Node write-back + Breeze + Claude</t>
        </is>
      </c>
      <c r="B7" s="4" t="inlineStr">
        <is>
          <t>sql/sync_transfer.sh (DTS HubSpot connector → $SYNC_DATASET), sql/apply.sh (bigquery_schema.sql → audit_tables.sql → hot_score_v1.sql →
deals_synced_v1.sql → hot_deals_v1.sql, rendered from .env), sql/refresh_pipeline_labels.sh, sql/scheduled_query.sh (one scheduled
query per entity running sql/new_deals_weekly.sql), writeback/deploy_job.sh (`gcloud run jobs deploy --source writeback`).</t>
        </is>
      </c>
      <c r="C7" s="4" t="inlineStr">
        <is>
          <t>BigQuery itself (persistent SQL UDF hubspot.hot_score_v1, versioned views hot_deals_v1 / _top5_by_region / _writeback, multi-statement
script in one transaction, SA new-deals-sql) plus a Node 22 Cloud Run job new-deals-writeback (SA new-deals-writeback, 1 task,
--max-retries 2, --task-timeout 900s); Breeze reads materialised properties; Claude iterates with bq --dry_run and a hubspot_dev dataset.</t>
        </is>
      </c>
      <c r="D7" s="4" t="inlineStr">
        <is>
          <t>Chain of clocks: DTS transfer every day 02:00 UTC → scheduled queries new-deals-&lt;entity&gt;-C "every monday 03:53" / "04:23" (per entity, off the hour, UTC only) →
Cloud Scheduler new-deals-writeback 30 5 * * 1 Europe/Zurich POSTing jobs.run with --oauth-service-account-email new-deals-scheduler@.
Gates: DISABLE_SCHEDULE=1 registers without auto-scheduling (manual `bq mk --transfer_run`); WRITEBACK_APPROVE unset → DRY rows only.</t>
        </is>
      </c>
      <c r="E7" s="4" t="inlineStr">
        <is>
          <t>Same hubspot.new_deals / new_deals_runs / new_deals_history; its own report_state key NEW_DEALS_&lt;entity&gt;_C; hubspot.writeback_log;
hubspot.pipeline_labels; the synced tables in $SYNC_DATASET; Secret Manager hubspot-token-write:&lt;pinned&gt;; HubSpot deal properties
hot_score_v1 / hot_flag_v1 (writeback/bootstrap_property.sh, one-off).</t>
        </is>
      </c>
      <c r="F7" s="4" t="inlineStr">
        <is>
          <t>Strongest compute (window functions, per-region top-5, one transaction for MERGE + audit + state) and the only implemented
write-back (batch PATCH ×100, 207 handling, value-idempotent, never NULL). Extraction is a scheduled full-refresh sync, so the window
is a 14-day lookback with a 36 h freshness guard — one-cycle lag, no event mode. Blocked until a write-scoped private app exists
(R35) and the synced table names are known after the first transfer run (R36). Free tiers throughout.</t>
        </is>
      </c>
    </row>
    <row r="9">
      <c r="A9" s="5" t="inlineStr">
        <is>
          <t>Parity summary (live formulas over the other sheets)</t>
        </is>
      </c>
    </row>
    <row r="10">
      <c r="A10" s="3" t="inlineStr">
        <is>
          <t>Status</t>
        </is>
      </c>
      <c r="B10" s="3" t="inlineStr">
        <is>
          <t>Layers</t>
        </is>
      </c>
      <c r="C10" s="3" t="inlineStr">
        <is>
          <t>Pipeline steps</t>
        </is>
      </c>
      <c r="D10" s="3" t="inlineStr">
        <is>
          <t>Meaning</t>
        </is>
      </c>
    </row>
    <row r="11">
      <c r="A11" s="6" t="inlineStr">
        <is>
          <t>Parallel</t>
        </is>
      </c>
      <c r="B11" s="4">
        <f>COUNTIF(Layers!$G:$G,"Parallel")</f>
        <v/>
      </c>
      <c r="C11" s="4">
        <f>COUNTIF('Pipeline steps'!$H:$H,"Parallel")</f>
        <v/>
      </c>
      <c r="D11" s="4" t="inlineStr">
        <is>
          <t>same artefact and same result on every lane whatever runtime produces it — pinned by a committed test or an equality check (outcome parity: the columns are scenarios, not terminals)</t>
        </is>
      </c>
    </row>
    <row r="12">
      <c r="A12" s="7" t="inlineStr">
        <is>
          <t>Conditional</t>
        </is>
      </c>
      <c r="B12" s="4">
        <f>COUNTIF(Layers!$G:$G,"Conditional")</f>
        <v/>
      </c>
      <c r="C12" s="4">
        <f>COUNTIF('Pipeline steps'!$H:$H,"Conditional")</f>
        <v/>
      </c>
      <c r="D12" s="4" t="inlineStr">
        <is>
          <t>same result when a stated condition holds</t>
        </is>
      </c>
    </row>
    <row r="13">
      <c r="A13" s="8" t="inlineStr">
        <is>
          <t>Divergent</t>
        </is>
      </c>
      <c r="B13" s="4">
        <f>COUNTIF(Layers!$G:$G,"Divergent")</f>
        <v/>
      </c>
      <c r="C13" s="4">
        <f>COUNTIF('Pipeline steps'!$H:$H,"Divergent")</f>
        <v/>
      </c>
      <c r="D13" s="4" t="inlineStr">
        <is>
          <t>different mechanism, remediation makes it equivalent</t>
        </is>
      </c>
    </row>
    <row r="14">
      <c r="A14" s="9" t="inlineStr">
        <is>
          <t>Total</t>
        </is>
      </c>
      <c r="B14" s="4">
        <f>SUM(B11:B13)</f>
        <v/>
      </c>
      <c r="C14" s="4">
        <f>SUM(C11:C13)</f>
        <v/>
      </c>
      <c r="D14" s="4" t="inlineStr"/>
    </row>
    <row r="15">
      <c r="A15" s="4" t="inlineStr">
        <is>
          <t>Rows on the sheet (must equal Total)</t>
        </is>
      </c>
      <c r="B15" s="4">
        <f>COUNTA(Layers!$A:$A)-1</f>
        <v/>
      </c>
      <c r="C15" s="4">
        <f>COUNTA('Pipeline steps'!$A:$A)-1</f>
        <v/>
      </c>
      <c r="D15" s="4" t="inlineStr"/>
    </row>
    <row r="17" ht="210" customHeight="1">
      <c r="A17" s="10" t="inlineStr">
        <is>
          <t>Legend: Parity column colours — green Parallel, yellow Conditional, orange Divergent. The columns A/B/C are the three candidate
SCENARIOS (not three terminals), so the Overview's "Ubuntu" column reads as *runtime*; the fourth column R (pass 3, 2026-10-21) is not a scenario but
the raw root and the one SQL implementation every scenario CALLs — its cells say how each layer is performed inside BigQuery. Layers L0–L17 are the execution layer from code
acquisition to cost; Pipeline steps are scenario A's deploy.sh sub-commands in deploy order (check-env … invoker → dry gate → run →
enable → probe/status → replay) with the equivalent B and C step or "n/a"; LIVE gates mark the rows that write to GCP or HubSpot.
Remediation R01–R46 = the user's risk table (R01–R05) plus every CONFIRMED gap of the verified discovery (result_A/B/C.json) and the
contested gaps that were implemented anyway; "verified" says fixed in &lt;path&gt;, contested: &lt;why&gt;, or open. Equality checks lists what
to compare between two scenarios after each stage. Source: the CloudBQ repository on branch claude/cloud-run-bigquery-pipeline-e94ziy
at 2026-10-05 (9e7e18a): cloud_function_new_deals/{main.py, deploy.sh, bigquery_schema.sql}, scoring/, sql/, writeback/, deploy/n8n/,
workflows/, tests/; scratchpad/discovery/scenario_{A,B,C}.md and result_{A,B,C}.json; the user's scenario notes and risk table of
2026-10-05. Nothing has run against GCP: every "not yet" is the first authenticated run's job. Parity here is OUTCOME parity: Parallel means the same tables, keys, constants and audit rows whichever lane runs, proven by tests/ (Python oracle == SQL UDF; since pass 3 one SQL implementation) and by the equality checks once credentials exist; L5/L7/L8/L13 were three code paths that had to agree — since pass 3 phase 3 L5/L6/L7/L13 are one shared SQL path.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44" customWidth="1" min="8" max="8"/>
    <col width="52" customWidth="1" min="9" max="9"/>
    <col width="34" customWidth="1" min="10" max="10"/>
  </cols>
  <sheetData>
    <row r="1">
      <c r="A1" s="3" t="inlineStr">
        <is>
          <t>#</t>
        </is>
      </c>
      <c r="B1" s="3" t="inlineStr">
        <is>
          <t>Layer</t>
        </is>
      </c>
      <c r="C1" s="3" t="inlineStr">
        <is>
          <t>A · Cloud Run function (deploy.sh → gcloud run deploy --function, Scheduler OIDC, Secret Manager, BigQuery MERGE) — operator surfaces: Cloud Shell runbook docs/RUNBOOK_CLOUD_SHELL.md and the Vertex AI Workbench notebook notebooks/cloudbq_deploy_and_witness.ipynb (same deploy.sh)</t>
        </is>
      </c>
      <c r="D1" s="3" t="inlineStr">
        <is>
          <t>B · n8n on Cloud Run (B1 delivery tail NEW_DEALS_DELIVERY.json; B2 — n8n owning the pipeline, NEW_DEALS_FULL.json — retired in pass 3 phase 3, decision D6; its cells record the design as built)</t>
        </is>
      </c>
      <c r="E1" s="3" t="inlineStr">
        <is>
          <t>C · BigQuery compute (synced deals, hot_score_v1 UDF, scheduled script) + Node 22 write-back job; Breeze reads, Claude iterates</t>
        </is>
      </c>
      <c r="F1" s="3" t="inlineStr">
        <is>
          <t>R · The raw root + the one SQL implementation (deals_raw / labels_raw → deals_landed_v1 → new_deals_batch_rows → new_deals_batch), CALLed by A after its landing and by C after its landing — pass 3 (2026-10-21); not a scenario but what every scenario executes</t>
        </is>
      </c>
      <c r="G1" s="3" t="inlineStr">
        <is>
          <t>Parity</t>
        </is>
      </c>
      <c r="H1" s="3" t="inlineStr">
        <is>
          <t>Where it diverges</t>
        </is>
      </c>
      <c r="I1" s="3" t="inlineStr">
        <is>
          <t>Remediation</t>
        </is>
      </c>
      <c r="J1" s="3" t="inlineStr">
        <is>
          <t>Verified how</t>
        </is>
      </c>
    </row>
    <row r="2">
      <c r="A2" s="4" t="inlineStr">
        <is>
          <t>L0</t>
        </is>
      </c>
      <c r="B2" s="4" t="inlineStr">
        <is>
          <t>Code acquisition &amp; deploy unit</t>
        </is>
      </c>
      <c r="C2" s="4" t="inlineStr">
        <is>
          <t>cloud_function_new_deals/ as one source-deploy unit: `deploy.sh deploy` → gcloud run deploy $FN --source . --function new_deals_report
--base-image python312 (canonical form; URL from `gcloud run services describe --format value(status.url)`). Every step create-or-update;
DRYRUN=1 rehearses the whole sequence offline.</t>
        </is>
      </c>
      <c r="D2" s="4" t="inlineStr">
        <is>
          <t>deploy/n8n/service.yaml rendered by deploy_n8n.sh and applied with `gcloud run services replace` (declarative); image pinned
docker.io/n8nio/n8n:2.41.7 (:latest refused); workflows/NEW_DEALS_{FULL,DELIVERY,ERRORS}.json generated by workflows/src/build_workflow.py
(--check gate, pinned node typeVersions) and imported by deploy/n8n/import_workflows.sh (PUT by stable id).</t>
        </is>
      </c>
      <c r="E2" s="4" t="inlineStr">
        <is>
          <t>Three units: SQL objects via sql/apply.sh (bq query, OR REPLACE / IF NOT EXISTS), scheduled queries via sql/scheduled_query.sh
(bq mk/update --transfer_config), the job via writeback/deploy_job.sh (gcloud run jobs deploy --source writeback, Dockerfile node:22-slim);
the sync via sql/sync_transfer.sh (bq mk --transfer_config --data_source=hubspot).</t>
        </is>
      </c>
      <c r="F2" s="4" t="inlineStr">
        <is>
          <t>Four SQL objects in the dataset, created idempotently (CREATE OR REPLACE / IF NOT EXISTS) by `deploy.sh tables` + `deploy.sh routines` (lane A; no SYNC_* needed) and by `sql/apply.sh` (lane C; the same files again): cloud_function_new_deals/bigquery_schema.sql (deals_raw, labels_raw, new_deals_runs.data_gaps), scoring/hot_score_v1.sql, sql/deals_landed_v1.sql, sql/new_deals_batch.sql. No runtime of its own — the deploy unit is the dataset.</t>
        </is>
      </c>
      <c r="G2" s="8" t="inlineStr">
        <is>
          <t>Divergent</t>
        </is>
      </c>
      <c r="H2" s="4" t="inlineStr">
        <is>
          <t>Three deploy units, three versioning stories: a Python directory built by Cloud Build, a container image + workflow JSON stored in
Cloud SQL, SQL text stored inside transfer configs plus a Node job. Only A and C are fully reproducible from git; B's running state also
includes credentials created in the UI.</t>
        </is>
      </c>
      <c r="I2" s="4" t="inlineStr">
        <is>
          <t>Every unit is a create-or-update script reading the same .env (.env.example) and honouring DRYRUN=1; workflows are generated, never
hand-edited (build_workflow.py --check in CI); docs/diffs ledger keeps one patch per commit.</t>
        </is>
      </c>
      <c r="J2" s="4" t="inlineStr">
        <is>
          <t>DRYRUN=1 deploy.sh (all sub-commands print their commands); DRYRUN=1 deploy/n8n/deploy_n8n.sh (renders service.yaml, no placeholder);
DRYRUN=1 sql/apply.sh (5 files render, 17 DDL statements); DRYRUN=1 writeback/deploy_job.sh; build_workflow --check up to date.
Real deploy: not yet — first authenticated run.</t>
        </is>
      </c>
    </row>
    <row r="3">
      <c r="A3" s="4" t="inlineStr">
        <is>
          <t>L1</t>
        </is>
      </c>
      <c r="B3" s="4" t="inlineStr">
        <is>
          <t>Identity to BigQuery (ADC/SA)</t>
        </is>
      </c>
      <c r="C3" s="4" t="inlineStr">
        <is>
          <t>Keyless: SA new-deals-fn@$PROJECT is the revision identity, ADC inside the container. `deploy.sh iam` grants roles/bigquery.jobUser
(project) and roles/run.builder to the compute SA; `deploy.sh tables` issues GRANT `roles/bigquery.dataEditor` ON SCHEMA
`$PROJECT.$DATASET` TO "serviceAccount:new-deals-fn@…" after CREATE SCHEMA IF NOT EXISTS.</t>
        </is>
      </c>
      <c r="D3" s="4" t="inlineStr">
        <is>
          <t>[B2 retired in pass 3 phase 3 (D6): the text records the design as built; only B1 remains] B1: n8n never touches BigQuery. B2: Google Service Account credential = exported JSON key of n8n-bq@ written by deploy/n8n/secrets.sh
to deploy/n8n/.secrets/n8n-bq.key.json (gitignored), same jobUser + DCL GRANT; stored encrypted in Cloud SQL under N8N_ENCRYPTION_KEY.
n8n has no ADC / Workload Identity path. Runtime SA n8n-run@ holds only cloudsql.client + secretAccessor.</t>
        </is>
      </c>
      <c r="E3" s="4" t="inlineStr">
        <is>
          <t>Two keyless SAs: new-deals-sql@ runs the scheduled queries (--service_account_name, sql/scheduled_query.sh grants jobUser + the same
DCL GRANT) and new-deals-writeback@ is the job's ADC (writeback/deploy_job.sh grants the same pair). The DTS connector writes
$SYNC_DATASET under a Google-managed identity. Claude's user ADC: dataViewer on hubspot, dataEditor on hubspot_dev (proposed).</t>
        </is>
      </c>
      <c r="F3" s="4" t="inlineStr">
        <is>
          <t>The caller's identity: the function SA (new-deals-fn@) and the scheduled-query SA (new-deals-sql@) each hold roles/bigquery.dataEditor on the dataset (routines.get/create included) + jobUser; the procedure and the table function read deals_raw / labels_raw only, so lane A needs no grant on the sync dataset (tests/test_pass3_sql.py::test_procedure_and_function_read_the_root_only).</t>
        </is>
      </c>
      <c r="G3" s="8" t="inlineStr">
        <is>
          <t>Divergent</t>
        </is>
      </c>
      <c r="H3" s="4" t="inlineStr">
        <is>
          <t>A and C are keyless (ADC); B2 needs a long-lived SA key inside n8n's database (B-G10) — a different mechanism and a different
rotation story (secrets.sh re-creates the key, the credential is re-imported by id).</t>
        </is>
      </c>
      <c r="I3" s="4" t="inlineStr">
        <is>
          <t>The same two grants for every identity, issued by deploy.sh tables, deploy/n8n/secrets.sh, sql/scheduled_query.sh and
writeback/deploy_job.sh (one GRANT statement each, double-quoted principal). If org policy blocks key creation, drop the BigQuery
node for an HTTP Request to the metadata token endpoint (result_B open question).</t>
        </is>
      </c>
      <c r="J3" s="4" t="inlineStr">
        <is>
          <t>GRANT text identical in the four scripts (read); DRYRUN=1 prints the bindings. IAM applied: not yet — first authenticated run.</t>
        </is>
      </c>
    </row>
    <row r="4">
      <c r="A4" s="4" t="inlineStr">
        <is>
          <t>L2</t>
        </is>
      </c>
      <c r="B4" s="4" t="inlineStr">
        <is>
          <t>Secrets (HubSpot token)</t>
        </is>
      </c>
      <c r="C4" s="4" t="inlineStr">
        <is>
          <t>`deploy.sh secret`: Secret Manager hubspot-token (create or versions add from $HUBSPOT_TOKEN typed into the shell — never in .env, check-env refuses it), accessor for the SA; prints the version NUMBER; `deploy.sh deploy` pins --set-secrets HUBSPOT_TOKEN=hubspot-token:${SECRET_VERSION} (empty → newest enabled version number resolved with value(name.basename()) at deploy time, never the literal "latest" and never the resource path, R47); optional DELIVERY_WEBHOOK_TOKEN from $DELIVERY_WEBHOOK_TOKEN_SECRET.</t>
        </is>
      </c>
      <c r="D4" s="4" t="inlineStr">
        <is>
          <t>deploy/n8n/secrets.sh creates n8n-encryption-key, n8n-db-password, n8n-webhook-token (create-only, never echoed) and binds n8n-run@;
service.yaml mounts the first two as env; the HubSpot token is copied by hand from Secret Manager into an n8n "HubSpot App Token"
credential (External Secrets is Enterprise-only), id mapped in workflows/credentials.map.json.</t>
        </is>
      </c>
      <c r="E4" s="4" t="inlineStr">
        <is>
          <t>Write token in Secret Manager hubspot-token-write, pinned: writeback/deploy_job.sh refuses to deploy without HUBSPOT_WRITE_TOKEN_VERSION
(--set-secrets HUBSPOT_TOKEN=hubspot-token-write:&lt;n&gt;); the DTS transfer config keeps its own read-token copy
(connector.authentication.oauth.accessToken); the schema-write token is used once by writeback/bootstrap_property.sh and not stored.</t>
        </is>
      </c>
      <c r="F4" s="4" t="inlineStr">
        <is>
          <t>None. The root is landed by the callers (A with HUBSPOT_TOKEN, C from the sync); the SQL objects hold no secret and call no API.</t>
        </is>
      </c>
      <c r="G4" s="8" t="inlineStr">
        <is>
          <t>Divergent</t>
        </is>
      </c>
      <c r="H4" s="4" t="inlineStr">
        <is>
          <t>A and C hold one pinned Secret Manager version each; B keeps copies inside n8n (Cloud SQL) and the transfer config keeps a third copy.
Rotation: A redeploy / C `gcloud run jobs update --update-secrets`; B re-create the credential; DTS `bq update --transfer_config --params`.</t>
        </is>
      </c>
      <c r="I4" s="4" t="inlineStr">
        <is>
          <t>Pin versions everywhere (deploy.sh secret_version(), deploy_job.sh); two private apps (read-only for A/B/DTS, crm.objects.deals.write
only for the job, R35); document the three rotation commands in one runbook row.</t>
        </is>
      </c>
      <c r="J4" s="4" t="inlineStr">
        <is>
          <t>deploy.sh secret_version() resolves the version NUMBER with value(name.basename()) — value(name) returned projects/…/versions/N and would have been rejected by --set-secrets (R47, fixed 574e954, DRYRUN=1 prints the corrected command); deploy_job.sh refuses a missing version (DRYRUN=1 run); secrets.sh DRYRUN=1 lists the three secrets. Secrets created: not yet — first authenticated run.</t>
        </is>
      </c>
    </row>
    <row r="5">
      <c r="A5" s="4" t="inlineStr">
        <is>
          <t>L3</t>
        </is>
      </c>
      <c r="B5" s="4" t="inlineStr">
        <is>
          <t>Trigger &amp; schedule</t>
        </is>
      </c>
      <c r="C5" s="4" t="inlineStr">
        <is>
          <t>`deploy.sh invoker`: two Cloud Scheduler HTTP jobs new-deals-SEALSQ "0 7 * * 1" and new-deals-ICALPS "20 7 * * 1" --time-zone Europe/Zurich, GET $URL?entity=…, --oidc-service-account-email new-deals-fn@, --oidc-token-audience $URL, --attempt-deadline 600s, --max-retry-attempts 3, create-or-update, created PAUSED; `deploy.sh enable` resumes only PAUSED jobs and `pause` only ENABLED ones (idempotent, R49). Cloud Scheduler is offered in europe-west6 (locations page, 2026-10-16).</t>
        </is>
      </c>
      <c r="D5" s="4" t="inlineStr">
        <is>
          <t>[B2 retired in pass 3 phase 3 (D6): the text records the design as built; only B1 remains] B1: A's jobs; the function then POSTs to the webhook. B2: deploy/n8n/scheduler.sh — jobs n8n-new-deals-SEALSQ / -ICALPS with the same
SCHEDULE_SEALSQ / SCHEDULE_ICALPS and time zone from .env, POST $N8N_URL/webhook/new-deals-run?entity=…, header X-Delivery-Token from
secret n8n-webhook-token, --attempt-deadline 900s, 3 retries, created PAUSED; `scheduler.sh enable` resumes. (In-app Schedule Trigger
is not used: it never fires at minScale 0, B-G01.)</t>
        </is>
      </c>
      <c r="E5" s="4" t="inlineStr">
        <is>
          <t>sql/sync_transfer.sh: DTS "every day 02:00" (UTC) → sql/scheduled_query.sh: "every monday 03:53" (SEALSQ) / "04:23" (ICALPS) — per entity and off the hour (two scripts in one minute would be cancelled as conflicting transactions; an on-the-hour schedule can trigger twice), UTC only, DST-insensitive →
writeback/deploy_job.sh: Cloud Scheduler new-deals-writeback "30 5 * * 1" Europe/Zurich POST jobs.run with --oauth-service-account-email
new-deals-scheduler@, 3 retries (start failures only). Not paused on create; harmless while WRITEBACK_APPROVE=0.</t>
        </is>
      </c>
      <c r="F5" s="4" t="inlineStr">
        <is>
          <t>None of its own — one CALL per caller run: the function after its landing (Scheduler Mon 07:00 / 07:20 Zurich, or a webhook event), the scheduled query after its landing (Mon 03:53 / 04:23 UTC). Callers never share a minute: conflicting transactions are cancelled by the engine, and an advance_state caller is refused while A holds the entity's lease.</t>
        </is>
      </c>
      <c r="G5" s="7" t="inlineStr">
        <is>
          <t>Conditional</t>
        </is>
      </c>
      <c r="H5" s="4" t="inlineStr">
        <is>
          <t>Same result when A and B2 read the same SCHEDULE_* values from .env (they do) and C's chain keeps its slack (sync 02:00 UTC &lt; query
03:53 / 04:23 UTC &lt; write-back 05:30 Zurich &lt; A's 07:00 Zurich). C's scheduled query drifts one hour across DST relative to the Zurich jobs
(C-G3); Scheduler retries re-run the same half-open window in A/B2 but only re-issue jobs.run in C (C-G9).</t>
        </is>
      </c>
      <c r="I5" s="4" t="inlineStr">
        <is>
          <t>.env SCHEDULE_SEALSQ / SCHEDULE_ICALPS shared by deploy.sh and scheduler.sh; SCHEDULE_UTC and WRITEBACK_SCHEDULE in
sql/scheduled_query.sh and writeback/deploy_job.sh chosen with slack; or drive the SQL from the Zurich-scheduled job for one clock.</t>
        </is>
      </c>
      <c r="J5" s="4" t="inlineStr">
        <is>
          <t>DRYRUN=1 deploy.sh invoker and DRYRUN=1 scheduler.sh create print identical cron/time-zone arguments (checked); jobs exist: not yet —
first authenticated run.</t>
        </is>
      </c>
    </row>
    <row r="6">
      <c r="A6" s="4" t="inlineStr">
        <is>
          <t>L4</t>
        </is>
      </c>
      <c r="B6" s="4" t="inlineStr">
        <is>
          <t>Extraction window (watermark read, createdate search)</t>
        </is>
      </c>
      <c r="C6" s="4" t="inlineStr">
        <is>
          <t>main.py read_watermark(): SELECT watermark FROM report_state WHERE report_id = 'NEW_DEALS_&lt;entity&gt;' (default now − FIRST_RUN_DAYS=7);
HubSpot POST /crm/v3/objects/deals/search createdate GTE watermark − OVERLAP_MINUTES(5) AND LT run_ts, PROPS (29 properties), sort
createdate ASC, 200/page; deals filtered by ENTITIES[entity].pipelines, the rest kept as duplicate candidates ("others"). Pass 3:
the whole search result (in_scope per deal) and the pipeline/stage/owner maps land in deals_raw / labels_raw keyed by (run_ts,
entity, orchestrator) — load first, delete-older second, time-boxed; since phase 3 a landing failure fails the run (named
raw_landing_failed) and dry runs land too, with mode = dry (D1). The function computes nothing from the search itself.</t>
        </is>
      </c>
      <c r="D6" s="4" t="inlineStr">
        <is>
          <t>[B2 retired in pass 3 phase 3 (D6): the text records the design as built; only B1 remains] B1: in the function. B2: node "Read watermark" (same SELECT, same report_id) → Code node "Window" computes watermark_in / query_start /
query_end once → HTTP Request "HubSpot search" with the identical filterGroups, PROPS list, sort and limit 200, paginated on
paging.next.after; "Pipelines" and "Owners" HTTP nodes for labels.</t>
        </is>
      </c>
      <c r="E6" s="4" t="inlineStr">
        <is>
          <t>No HubSpot search: sql/new_deals_weekly.sql selects deals_synced_v1 WHERE createdate in [run_ts − 14 d, run_ts) AND pipeline_id IN
${PIPELINES} after a freshness guard (RAISE + ABORTED run row when MAX(lastmodified) &lt; run_ts − 36 h). Source = scheduled full-refresh
sync (DTS, Preview) into $SYNC_DATASET.$SYNC_DEALS_TABLE read through the adapter view. No event mode. Pass 3 phase 1: after the guard
and before the transaction, sql/land_raw.sql (spliced by scheduled_query.sh) lands the 90-day set from the sync TABLE with HubSpot
property names (TO_JSON of 28 of the 29 PROPS: hs_object_source_detail_1 waits for the first transfer to confirm the column) and the labels,
same key and same INSERT-then-DELETE-older order as A, inside a BEGIN … EXCEPTION block that names raw_landing_failed; sql/backfill_raw.sh
lands it once per entity with orchestrator = backfill at cut-over. Phase 2: the landing precedes the CALL of new_deals_batch (the
script has no transaction of its own any more).</t>
        </is>
      </c>
      <c r="F6" s="4" t="inlineStr">
        <is>
          <t>The landing contract: one slice per (run_ts, entity, orchestrator) in deals_raw (properties JSON as delivered, in_scope, createdate, pipeline_id, mode, source, fetched_at) and labels_raw (kind, id, label) — load first, delete-older second, scoped by mode; written by land_raw()/land_labels() (A, the API) and sql/land_raw.sql (C, the sync table); sql/backfill_raw.sh fills the 90-day horizon once (orchestrator = backfill). The implementation never extracts: a failed landing with no slice → RAISE.</t>
        </is>
      </c>
      <c r="G6" s="8" t="inlineStr">
        <is>
          <t>Divergent</t>
        </is>
      </c>
      <c r="H6" s="4" t="inlineStr">
        <is>
          <t>A and B2 share the mechanism (watermark row + live createdate search); C reads a scheduled snapshot with a fixed lookback — a deal
created after the last transfer is missing until the next cycle (C-G2), and C never uses the watermark as its window.</t>
        </is>
      </c>
      <c r="I6" s="4" t="inlineStr">
        <is>
          <t>lookback_days ≥ 2× the transfer cadence (14 d vs daily), the 36 h RAISE guard, chain slack (L3); accept one-cycle lag or keep A's
search/event mode as the extractor and let C only compute from new_deals. For strict parity C could read new_deals (A's output)
instead of the sync.</t>
        </is>
      </c>
      <c r="J6" s="4" t="inlineStr">
        <is>
          <t>A: tests/test_main_offline.py::test_dry_lands_calls_with_mode_dry_and_touches_no_sink_or_state (watermark read in dry mode) and test_first_run_without_watermark_uses_first_run_days;
B2: tests/test_n8n_code.py (Window values flow into the payload). C: by reading sql/new_deals_weekly.sql; synced columns unknown until
the first transfer run (R36). Live search: not yet — first authenticated run.</t>
        </is>
      </c>
    </row>
    <row r="7">
      <c r="A7" s="4" t="inlineStr">
        <is>
          <t>L5</t>
        </is>
      </c>
      <c r="B7" s="4" t="inlineStr">
        <is>
          <t>Scoring arithmetic (hot score v1)</t>
        </is>
      </c>
      <c r="C7" s="4" t="inlineStr">
        <is>
          <t>Pass 3 phase 3: the function no longer scores — CALL new_deals_batch runs new_deals_batch_rows, which applies the persistent UDF hot_score_v1 (scoring/hot_score_v1.sql) with run_ts as "now"; main.py hot_score() survives as the test oracle that builds tests/hot_score_vectors.json (tests/test_hot_score.py) and tests/pass3_batch_vectors.sql proves the UDF on the same vectors through the root.</t>
        </is>
      </c>
      <c r="D7" s="4" t="inlineStr">
        <is>
          <t>[B2 retired in pass 3 phase 3 (D6): the text records the design as built; only B1 remains] workflows/src/shape_score.js hotScore() injected into the Code node "Shape + score" with the constants from
scoring/hot_score_v1.constants.json at build time (build_workflow.py code_js()); scoring/hot_score_v1.mjs is the standalone JS port
used by the write-back job and run by the test.</t>
        </is>
      </c>
      <c r="E7" s="4" t="inlineStr">
        <is>
          <t>scoring/hot_score_v1.sql → persistent UDF `$PROJECT.$DATASET.hot_score_v1(...) RETURNS STRUCT&lt;score, hot, raw&gt;` applied by sql/apply.sh;
called by the pass-3 table function new_deals_batch_rows (sql/deals_landed_v1.sql; day1_hot_score / day1_hot_flag, run_ts as "now")
and sql/hot_deals_v1.sql (hot_score_v1 / hot_flag_v1). tests/hot_score_vectors.sql is the bq check generated from the same vectors;
tests/pass3_batch_vectors.sql runs the same 15 vectors through the root → view → table function in a dev dataset.</t>
        </is>
      </c>
      <c r="F7" s="4" t="inlineStr">
        <is>
          <t>scoring/hot_score_v1.sql, the persistent UDF, applied inside new_deals_batch_rows with run_ts as "now" — the one scoring in the pipeline; tests/hot_score_vectors.sql and tests/pass3_batch_vectors.sql (through the root) are its checks; main.hot_score() is the Python oracle that builds the vectors.</t>
        </is>
      </c>
      <c r="G7" s="6" t="inlineStr">
        <is>
          <t>Parallel</t>
        </is>
      </c>
      <c r="H7" s="4" t="inlineStr">
        <is>
          <t>Nothing by design: one constants file, one vector file, one UDF since pass 3 (Python is the test oracle; the JS port retired with B2). The only tolerated difference is a 0.1 step at an exact
rounding tie (Python half-to-even vs JS/SQL half-away), asserted as |Δscore| ≤ 0.1 with raw |Δ| &lt; 1e-9 (B-G11, contested: unreachable
in practice).</t>
        </is>
      </c>
      <c r="I7" s="4" t="inlineStr">
        <is>
          <t>None needed. test_constants_match_json() fails the moment main.py drifts from the constants file; a new fit is v2
(hot_score_v2 + hot_deals_v2), never an edit of v1.</t>
        </is>
      </c>
      <c r="J7" s="4" t="inlineStr">
        <is>
          <t>tests/test_hot_score.py 2026-10-05: 15 vectors, "constants OK · python vectors OK · JS port OK (raw |Δ| &lt; 1e-9, flags equal)";
(B2 retired) tests/test_n8n_code.py row-for-row equality incl. day1_hot_score; SQL UDF: DuckDB harness offline 0/4,000 mismatches, tests/pass3_batch_vectors.sql through the root
(scenario_C.md) — `bq query &lt; tests/hot_score_vectors.sql` (every ok = TRUE): not yet — first authenticated run.</t>
        </is>
      </c>
    </row>
    <row r="8">
      <c r="A8" s="4" t="inlineStr">
        <is>
          <t>L6</t>
        </is>
      </c>
      <c r="B8" s="4" t="inlineStr">
        <is>
          <t>Shaping &amp; duplicate flag</t>
        </is>
      </c>
      <c r="C8" s="4" t="inlineStr">
        <is>
          <t>Pass 3 phase 3: shaping and the duplicate flag happen in the table function new_deals_batch_rows (sql/deals_landed_v1.sql) over the slice the function landed — name_key in the view, labels from labels_raw, duplicates = lane C's rule over the root (D3); main.py shape() / name_key() survive as test oracles (tests/test_main_offline.py renders the fake history slice from them).</t>
        </is>
      </c>
      <c r="D8" s="4" t="inlineStr">
        <is>
          <t>[B2 retired in pass 3 phase 3 (D6): the text records the design as built; only B1 remains] workflows/src/shape_score.js nameKey() / shapeRows() — same regexes, same batch + known logic; node "Recent names" runs the same
90-day SELECT with continue-on-fail (→ empty map like A); same sort. Column list comes from bigquery_schema.sql at build time.</t>
        </is>
      </c>
      <c r="E8" s="4" t="inlineStr">
        <is>
          <t>Pass 3 phase 2 — sql/deals_landed_v1.sql: name_key = IFNULL(SUBSTR(REGEXP_REPLACE(LOWER(COALESCE(NULLIF(TRIM(final_customer),''),
REGEXP_EXTRACT(dealname, r'^[^-/|(]*'))), r'[^a-z0-9]', ''), 1, 40), '') computed once in the view; new_deals_batch_rows: dups =
the window against every deal the ROOT knows as of run_ts (any entity, any orchestrator, in-scope or not, 90-day horizon, latest
observation per deal_id), STRING_AGG ordered by createdate, deal_id; labels from the slice's labels_raw rows (id as fallback).
Before phase 2 the weekly script did the same over the synced views.</t>
        </is>
      </c>
      <c r="F8" s="4" t="inlineStr">
        <is>
          <t>deals_landed_v1 (one typed column per property, name_key once) → new_deals_batch_rows(run_ts, entity, orchestrator, window_start): the window (one row per deal, [window_start, run_ts) when given, the whole slice for an event), labels from the slice's labels_raw (id fallback), duplicates = every deal the root knows as of run_ts (any entity, any orchestrator, in scope or not, 90-day horizon, latest observation per deal_id), STRING_AGG by createdate, deal_id — decision D3, the same rule for every caller.</t>
        </is>
      </c>
      <c r="G8" s="6" t="inlineStr">
        <is>
          <t>Parallel</t>
        </is>
      </c>
      <c r="H8" s="4" t="inlineStr">
        <is>
          <t>None since pass 3 phase 3: one rule over the root for every lane (sql/deals_landed_v1.sql, decision D3); the only residue is the horizon until the root is 90 days old (dedup_horizon_partial on the runs row).</t>
        </is>
      </c>
      <c r="I8" s="4" t="inlineStr">
        <is>
          <t>For strict parity restrict C's `recent` CTE to deal_id IN (SELECT deal_id FROM new_deals); otherwise document C as stricter and
compare flags only for deals whose twins are in new_deals (Equality checks).</t>
        </is>
      </c>
      <c r="J8" s="4" t="inlineStr">
        <is>
          <t>A: tests/test_main_offline.py::test_row_contract_equals_schema; one implementation for every lane since pass 3, proved by tests/test_pass3_sql.py and tests/pass3_batch_vectors.sql (B2 retired; its former proof tests/test_n8n_code.py::test_code_node_matches_python_shape covered every field of every row, dup twin in batch + warehouse);
A: tests/test_main_offline.py::test_row_contract_equals_schema (31 columns). C: by reading the SQL; not yet — first authenticated run.</t>
        </is>
      </c>
    </row>
    <row r="9">
      <c r="A9" s="4" t="inlineStr">
        <is>
          <t>L7</t>
        </is>
      </c>
      <c r="B9" s="4" t="inlineStr">
        <is>
          <t>Load → MERGE into hubspot.new_deals</t>
        </is>
      </c>
      <c r="C9" s="4" t="inlineStr">
        <is>
          <t>Pass 3 phase 3: ONE statement — CALL `$PROJECT.$DATASET.new_deals_batch`(@run_ts, @entity, 'cloud-run-function', @mode, FALSE, NULL, @watermark_in, @query_start, @query_end, @started_ms, @gaps) — the procedure MERGEs new_deals from the table function (frozen four untouched, older-slice guard), writes the history slice and the runs row in one transaction; no per-run staging table any more; CALL_TIMEOUT_S (300 s).</t>
        </is>
      </c>
      <c r="D9" s="4" t="inlineStr">
        <is>
          <t>[B2 retired in pass 3 phase 3 (D6): the text records the design as built; only B1 remains] B2 node "MERGE new_deals": one Execute Query whose USING source is SELECT … FROM UNNEST(JSON_QUERY_ARRAY(PARSE_JSON('''&lt;rows json&gt;'''))) r
with SAFE_CASTs per column type; same ON deal_id, same frozen set — generated by build_workflow.py sql_templates() from
bigquery_schema.sql. No staging table, no streaming insert (B-G08/B-G09).</t>
        </is>
      </c>
      <c r="E9" s="4" t="inlineStr">
        <is>
          <t>Pass 3 phase 2 — sql/new_deals_batch.sql (PROCEDURE new_deals_batch, called by sql/new_deals_weekly.sql): CREATE OR REPLACE TEMP TABLE
batch AS SELECT * FROM new_deals_batch_rows(…); MERGE `new_deals` t USING batch s ON t.deal_id = s.deal_id WHEN MATCHED AND
s.last_seen_run &gt;= IFNULL(t.last_seen_run, …) THEN UPDATE SET &lt;every column except deal_id, first_seen_run, day1_hot_score,
day1_hot_flag&gt; WHEN NOT MATCHED THEN INSERT ROW — inside BEGIN/COMMIT TRANSACTION with the audit and state statements; mode dry
writes one runs row and nothing else; any error → ROLLBACK, FAILED runs row, RAISE.</t>
        </is>
      </c>
      <c r="F9" s="4" t="inlineStr">
        <is>
          <t>new_deals_batch: CREATE OR REPLACE TEMP TABLE batch AS SELECT * FROM new_deals_batch_rows(…); BEGIN TRANSACTION; MERGE new_deals (the frozen four untouched; WHEN MATCHED AND s.last_seen_run &gt;= t.last_seen_run, so an older slice never overwrites a newer observation; INSERT ROW); rows_written = @@row_count. mode = dry: no MERGE.</t>
        </is>
      </c>
      <c r="G9" s="6" t="inlineStr">
        <is>
          <t>Parallel</t>
        </is>
      </c>
      <c r="H9" s="4" t="inlineStr">
        <is>
          <t>Same target, same key, same update list, same insert — since pass 3 one source too: the procedure's TEMP table for A and C (B2 retired). Before: (per-run staging table / inline JSON / TEMP
table) and none of those sources is shared or persistent, so nothing local can change the outcome. Re-running a window writes nothing
new on any surface.</t>
        </is>
      </c>
      <c r="I9" s="4" t="inlineStr">
        <is>
          <t>None needed. Keep the frozen set in one place per surface (main.py FROZEN, build_workflow.py frozen, the UPDATE list in
new_deals_weekly.sql) and let the Equality check "after a second identical run" prove it.</t>
        </is>
      </c>
      <c r="J9" s="4" t="inlineStr">
        <is>
          <t>A: tests/test_main_offline.py::test_live_lands_before_the_call_and_advances_the_watermark_after_it (no staging table; the frozen set is proved by tests/test_pass3_sql.py::test_merge_update_list_excludes_the_frozen_columns; day1_* and
first_seen_run absent from UPDATE SET); B2: tests/test_n8n_code.py asserts JSON_QUERY_ARRAY source and no day1_hot_score in the
UPDATE list; C: the UPDATE list read against the schema (27 columns, same exclusions). MERGE executed: not yet — first authenticated run.</t>
        </is>
      </c>
    </row>
    <row r="10">
      <c r="A10" s="4" t="inlineStr">
        <is>
          <t>L8</t>
        </is>
      </c>
      <c r="B10" s="4" t="inlineStr">
        <is>
          <t>Watermark advance</t>
        </is>
      </c>
      <c r="C10" s="4" t="inlineStr">
        <is>
          <t>main.py write_watermark(): UPDATE report_state SET watermark = run_ts, updated_at = now, lock_until = NULL WHERE report_id = 'NEW_DEALS_&lt;entity&gt;' — after a successful CALL and the read-back of the rows (the procedure is called with advance_state = FALSE: the lease and A's row stay in the function; a read-back failure keeps the window replayable); never in event or dry mode; tests/test_main_offline.py pins the order land → CALL → read → watermark.</t>
        </is>
      </c>
      <c r="D10" s="4" t="inlineStr">
        <is>
          <t>[B2 retired in pass 3 phase 3 (D6): the text records the design as built; only B1 remains] B2 node "Advance watermark": MERGE report_state USING (SELECT 'NEW_DEALS_&lt;entity&gt;', TIMESTAMP '&lt;run_ts&gt;') … UPDATE SET watermark,
updated_at, lock_until = NULL / INSERT — wired strictly after "MERGE new_deals" and "History slice" with the default On Error = stop,
skipped entirely on the dry branch.</t>
        </is>
      </c>
      <c r="E10" s="4" t="inlineStr">
        <is>
          <t>Pass 3 phase 2 — new_deals_batch with advance_state = TRUE and state_report_id = CONCAT('NEW_DEALS_', entity, '_C'): MERGE
report_state with watermark = GREATEST(old, run_ts) (a replayed run_time never rewinds) in the SAME transaction as the new_deals MERGE —
the engine enforces "advance only after a successful MERGE"; before the transaction the procedure RAISEs if A's lock_until for the
entity is live (a fallback run never collides with a live lane-A run).</t>
        </is>
      </c>
      <c r="F10" s="4" t="inlineStr">
        <is>
          <t>When advance_state = TRUE (lane C, report_id NEW_DEALS_&lt;entity&gt;_C): MERGE report_state with watermark = GREATEST(old, run_ts) in the same transaction as the new_deals MERGE, after RAISEing if A's lock_until for the entity is live. When FALSE (lane A, events, dry): the procedure touches no state and the caller advances its own row after the CALL and the read-back.</t>
        </is>
      </c>
      <c r="G10" s="6" t="inlineStr">
        <is>
          <t>Parallel</t>
        </is>
      </c>
      <c r="H10" s="4" t="inlineStr">
        <is>
          <t>Same row semantics on every surface: hubspot.report_state.watermark = run_ts of the last successful MERGE, never advanced by a dry run,
a failed run or an event. C deliberately writes its own key NEW_DEALS_&lt;entity&gt;_C so A's watermark is never overwritten while both are
deployed (C-G4); the "status" probe therefore shows up to four rows.</t>
        </is>
      </c>
      <c r="I10" s="4" t="inlineStr">
        <is>
          <t>None needed for the semantics. If C ever becomes the only orchestrator, rename its key to NEW_DEALS_&lt;entity&gt; after pausing A's
jobs (deploy.sh pause).</t>
        </is>
      </c>
      <c r="J10" s="4" t="inlineStr">
        <is>
          <t>A: tests/test_main_offline.py::test_live_lands_before_the_call_and_advances_the_watermark_after_it (CALL index &lt; watermark index, lease released)
and ::test_event_mode_calls_with_mode_event_and_never_touches_state; B2: tests/test_n8n_code.py asserts the watermark MERGE text and report_id; C: by reading
the transaction. report_state rows: not yet — first authenticated run.</t>
        </is>
      </c>
    </row>
    <row r="11">
      <c r="A11" s="4" t="inlineStr">
        <is>
          <t>L9</t>
        </is>
      </c>
      <c r="B11" s="4" t="inlineStr">
        <is>
          <t>Delivery (XLSX/email)</t>
        </is>
      </c>
      <c r="C11" s="4" t="inlineStr">
        <is>
          <t>main.py _deliver(): POST payload to DELIVERY_WEBHOOK_URL with X-Delivery-Token, 3 tries (0/5/15 s) for a cold n8n; a failure is
recorded as status OK_DELIVERY_FAILED in new_deals_runs and payload.delivery_error. Fallback source: view hubspot.new_deals_last_7d.</t>
        </is>
      </c>
      <c r="D11" s="4" t="inlineStr">
        <is>
          <t>[B2 retired in pass 3 phase 3 (D6): the text records the design as built; only B1 remains] B1 workflows/NEW_DEALS_DELIVERY.json: Webhook new-deals (Header Auth, respond lastNode) → IF Any rows? → Split Out rows → Code
"Shape columns" → Convert to File XLSX → Email Send (MAIL_FROM/MAIL_TO from env); false branch "Email (no rows)". B2: the same tail
inside NEW_DEALS_FULL after "Run log" (XLSX NEW_DEALS_&lt;entity&gt;_&lt;date&gt;.xlsx, text body with [DUP]/[HOT] markers).</t>
        </is>
      </c>
      <c r="E11" s="4" t="inlineStr">
        <is>
          <t>None owned: BigQuery sends no mail. Breeze/BI read new_deals_last_7d and hot_deals_v1_top5_by_region; the job could POST the identical
payload contract to the B1 webhook (not implemented); HubSpot workflows on hot_flag_v1 replace Breeze "scheduled prompts" for alerts.</t>
        </is>
      </c>
      <c r="F11" s="4" t="inlineStr">
        <is>
          <t>None: the implementation writes tables; the caller renders the payload from new_deals_history + new_deals_runs (A) and delivers it (the B1 tail); C delivers nothing.</t>
        </is>
      </c>
      <c r="G11" s="8" t="inlineStr">
        <is>
          <t>Divergent</t>
        </is>
      </c>
      <c r="H11" s="4" t="inlineStr">
        <is>
          <t>Three delivery mechanisms (webhook tail, in-workflow tail, none) and an email is never idempotent: a re-trigger re-sends. A's
watermark advances before the POST, so a failed delivery leaves rows in BigQuery and no later window re-sends them (B-G04, mitigated
by retries + the run-status marker).</t>
        </is>
      </c>
      <c r="I11" s="4" t="inlineStr">
        <is>
          <t>workflows/NEW_DEALS_DELIVERY.json accepts the same payload contract from any orchestrator; next iteration: deliver from
new_deals_last_7d so a re-send is the same report whichever scenario filled the table (result_B open question, default yes).</t>
        </is>
      </c>
      <c r="J11" s="4" t="inlineStr">
        <is>
          <t>build_workflow.py produces NEW_DEALS_DELIVERY.json with Header Auth, zero-row branch and lastNode response (read, --check up to date);
main.py retry loop read. Email sent: not yet — first authenticated run (needs the SMTP credential in n8n).</t>
        </is>
      </c>
    </row>
    <row r="12">
      <c r="A12" s="4" t="inlineStr">
        <is>
          <t>L10</t>
        </is>
      </c>
      <c r="B12" s="4" t="inlineStr">
        <is>
          <t>Write-back to HubSpot</t>
        </is>
      </c>
      <c r="C12" s="4" t="inlineStr">
        <is>
          <t>Not performed: the private app is read-only (crm.objects.deals.read, crm.schemas.deals.read, crm.objects.owners.read). A maintains the
table C's views read from.</t>
        </is>
      </c>
      <c r="D12" s="4" t="inlineStr">
        <is>
          <t>[B2 retired in pass 3 phase 3 (D6): the text records the design as built; only B1 remains] Not generated: B2 could add a HubSpot Deal → Update node or an HTTP Request to /crm/v3/objects/deals/batch/update behind the same
skip rule; it would need the write token inside n8n. Not in v1.</t>
        </is>
      </c>
      <c r="E12" s="4" t="inlineStr">
        <is>
          <t>writeback/index.mjs (Node 22 Cloud Run job): SELECT from hot_deals_v1_writeback (rows whose hot_score_v1 / hot_flag_v1 IS DISTINCT
FROM COALESCE(last OK writeback_log value, synced property), never NULL) → POST /crm/v3/objects/deals/batch/update in slices of 100,
back-off on 429/5xx via X-HubSpot-RateLimit-Interval-Milliseconds, 207 errors[] parsed per id, one writeback_log row per deal,
exit 1 if any ERROR (Cloud Run retries only the rest). Gate WRITEBACK_APPROVE=1 (deploy_job.sh live). Properties created once by
writeback/bootstrap_property.sh.</t>
        </is>
      </c>
      <c r="F12" s="4" t="inlineStr">
        <is>
          <t>None: writeback/index.mjs reads the views (lane C).</t>
        </is>
      </c>
      <c r="G12" s="8" t="inlineStr">
        <is>
          <t>Divergent</t>
        </is>
      </c>
      <c r="H12" s="4" t="inlineStr">
        <is>
          <t>Only C writes to HubSpot. Blocked by scopes until a second private app with crm.objects.deals.write exists (C-G10) and the properties
are created with a one-off crm.schemas.deals.write token. HubSpot's native BigQuery → HubSpot sync would be an alternative only on
Data Hub Enterprise (C-G1, contested).</t>
        </is>
      </c>
      <c r="I12" s="4" t="inlineStr">
        <is>
          <t>The job reads BigQuery views, not the orchestrator, so one deployment of writeback/ is the write-back for A, B2 and C alike; the
delta view + writeback_log make it value-idempotent (f(f(x)) = f(x)) and safe under overlapping executions.</t>
        </is>
      </c>
      <c r="J12" s="4" t="inlineStr">
        <is>
          <t>node --check writeback/index.mjs OK; DRYRUN=1 writeback/deploy_job.sh prints the job, binding and Scheduler commands; the 100-slice
and 207 handling read against the HubSpot docs (result_C C-G7). Any PATCH: not yet — first authenticated run (and not before R35).</t>
        </is>
      </c>
    </row>
    <row r="13">
      <c r="A13" s="4" t="inlineStr">
        <is>
          <t>L11</t>
        </is>
      </c>
      <c r="B13" s="4" t="inlineStr">
        <is>
          <t>Dry-run gate</t>
        </is>
      </c>
      <c r="C13" s="4" t="inlineStr">
        <is>
          <t>`deploy.sh dry`: ?dry_run=1 for both entities; since pass 3 phase 3 (D1) a dry run lands its slice with mode = dry and CALLs the procedure with mode = dry — one new_deals_runs row (dry_run TRUE, rows_written 0), no MERGE, no history, no state, no lease, no delivery; the payload comes from new_deals_batch_rows; the step still asserts rows_written == 0 and prints rows/dup/hot/window; curl -sSf: an HTTP 403 or 409 fails the gate (R50).</t>
        </is>
      </c>
      <c r="D13" s="4" t="inlineStr">
        <is>
          <t>[B2 retired in pass 3 phase 3 (D6): the text records the design as built; only B1 remains] B2: POST /webhook/new-deals-run?entity=…&amp;dry_run=1 → IF "Dry run?" true → "Respond" with the payload (rows_written 0, dry_run true);
the BigQuery reads still run, the write nodes and the email do not. Manual execution in the editor (pinned data) is the
n8n-native rehearsal; Scheduler jobs stay PAUSED until the gate passes.</t>
        </is>
      </c>
      <c r="E13" s="4" t="inlineStr">
        <is>
          <t>Two halves: SQL — DRYRUN=1 sql/scheduled_query.sh renders both scripts and runs `bq query --dry_run` (syntax + bytes);
DISABLE_SCHEDULE=1 registers with --no_auto_scheduling so the first run is a manual `bq mk --transfer_run`; a true no-write rehearsal
needs a hubspot_dev dataset (a scheduled query has no compute-only switch). Job — WRITEBACK_APPROVE unset → status DRY rows in
writeback_log, no HubSpot call (`writeback/deploy_job.sh execute`).</t>
        </is>
      </c>
      <c r="F13" s="4" t="inlineStr">
        <is>
          <t>mode = 'dry': the batch is computed, ONE new_deals_runs row (dry_run TRUE, rows_written 0, counts and data_gaps filled) and nothing else — no MERGE, no history, no state. tests/pass3_batch_vectors.sql is the executed check of the read path in a dev dataset; `bq --dry_run` cannot execute a CALL, so `deploy.sh dry` (a real CALL with mode dry) is the gate.</t>
        </is>
      </c>
      <c r="G13" s="7" t="inlineStr">
        <is>
          <t>Conditional</t>
        </is>
      </c>
      <c r="H13" s="4" t="inlineStr">
        <is>
          <t>A and B2 rehearse exactly Monday's window with zero writes; C's SQL half can only be rehearsed syntactically or against a dev dataset,
because the scheduled script always MERGEs when it runs. The job half matches A's flag model (one env var opens the live path).</t>
        </is>
      </c>
      <c r="I13" s="4" t="inlineStr">
        <is>
          <t>Rehearse C's SQL in hubspot_dev (DATASET override in .env) before registering with auto-scheduling; keep the gate order dry → run →
probe → enable on every surface (deploy.sh, scheduler.sh, scheduled_query.sh + deploy_job.sh live).</t>
        </is>
      </c>
      <c r="J13" s="4" t="inlineStr">
        <is>
          <t>A: tests/test_main_offline.py::test_dry_lands_calls_with_mode_dry_and_touches_no_sink_or_state; B2 (retired): tests/test_n8n_code.py (dry_run true, rows_written 0) and the IF
wiring in NEW_DEALS_FULL.json; C: DRYRUN=1 sql/scheduled_query.sh renders (bq --dry_run itself needs credentials: not yet — first
authenticated run).</t>
        </is>
      </c>
    </row>
    <row r="14">
      <c r="A14" s="4" t="inlineStr">
        <is>
          <t>L12</t>
        </is>
      </c>
      <c r="B14" s="4" t="inlineStr">
        <is>
          <t>Replay / backfill</t>
        </is>
      </c>
      <c r="C14" s="4" t="inlineStr">
        <is>
          <t>`deploy.sh replay ENTITY FROM_ISO`: UPDATE report_state SET watermark = TIMESTAMP 'FROM', updated_at = now WHERE report_id = 'NEW_DEALS_&lt;entity&gt;' then `deploy.sh run ENTITY`; MERGE dedupes; day1_* frozen so historical scores survive; new_deals_history slice for the new run_ts; the first run with no watermark looks back FIRST_RUN_DAYS. replay is the idempotency check of the runbook (FROM = window.query_start of the first run); a second `run` opens the next window instead (R52).</t>
        </is>
      </c>
      <c r="D14" s="4" t="inlineStr">
        <is>
          <t>[B2 retired in pass 3 phase 3 (D6): the text records the design as built; only B1 remains] B2: the same UPDATE on report_state (bq query), then POST the webhook without dry_run (or `gcloud scheduler jobs run
n8n-new-deals-&lt;entity&gt;`); identical MERGE / frozen set / history DELETE+INSERT by (run_ts, entity, orchestrator = 'n8n').</t>
        </is>
      </c>
      <c r="E14" s="4" t="inlineStr">
        <is>
          <t>`bq mk --transfer_run --start_time … --end_time … &lt;transfer config&gt;`: each historical @run_time re-executes sql/new_deals_weekly.sql
(14-day lookback), DELETEs and re-INSERTs its history and run-log slices, MERGE converges; HubSpot side: DELETE FROM writeback_log WHERE
run_ts = … then `gcloud run jobs execute`; sync backfill = DTS backfill run.</t>
        </is>
      </c>
      <c r="F14" s="4" t="inlineStr">
        <is>
          <t>A CALL with the same (run_ts, entity, orchestrator) recomputes from the same slice and rewrites the same history and runs rows (events excepted: never replayed, never replaced); a re-landing replaces the slice (raw_slice_replaced — the predecessor is recoverable by time travel only); a replayed older run_time never rewinds C's watermark (GREATEST) and never overwrites a newer observation (the MERGE guard).</t>
        </is>
      </c>
      <c r="G14" s="7" t="inlineStr">
        <is>
          <t>Conditional</t>
        </is>
      </c>
      <c r="H14" s="4" t="inlineStr">
        <is>
          <t>Same rows after the replay when the replayed window is covered: A/B2 rewind one state row and re-run a watermark window; C re-executes
run_time slices whose fixed 14-day lookback must span the gap (longer gaps need several run_times or a larger lookback_days). Deep
replays in A/B2 are capped at 10,000 search results per query (G15, contested: decades of volume).</t>
        </is>
      </c>
      <c r="I14" s="4" t="inlineStr">
        <is>
          <t>Rewind in A/B2 is `deploy.sh replay`; in C choose start/end so consecutive run_times overlap (weekly run_times, 14-day lookback);
the Equality check "after a second identical run" is the proof on every surface.</t>
        </is>
      </c>
      <c r="J14" s="4" t="inlineStr">
        <is>
          <t>A: deploy.sh replay read (UPDATE then live), frozen set by tests/test_main_offline.py; B2: watermark/history SQL by
tests/test_n8n_code.py; C: sql/scheduled_query.sh prints the replay command. Replayed: not yet — first authenticated run.</t>
        </is>
      </c>
    </row>
    <row r="15">
      <c r="A15" s="4" t="inlineStr">
        <is>
          <t>L13</t>
        </is>
      </c>
      <c r="B15" s="4" t="inlineStr">
        <is>
          <t>Audit trail (history per run)</t>
        </is>
      </c>
      <c r="C15" s="4" t="inlineStr">
        <is>
          <t>Pass 3 phase 3: the procedure writes the runs row (status OK, or FAILED with the message before re-raising; dry_run TRUE for a dry run) and the history slice inside its transaction; the function writes the FAILED row itself only when no row exists after a failure (search, landing, a CALL that never reached the procedure), amends the procedure's OK row to FAILED when it fails after the CALL, and to OK_DELIVERY_FAILED when the delivery tail fails; the payload's rows_written and data_gaps are read from that row; data_gaps from the function (event_no_window, raw_slice_replaced, raw_landing_failed) plus the procedure's (labels_missing, dedup_horizon_partial); deals_raw / labels_raw hold the run's inputs; JSON log line "run complete".</t>
        </is>
      </c>
      <c r="D15" s="4" t="inlineStr">
        <is>
          <t>[B2 retired in pass 3 phase 3 (D6): the text records the design as built; only B1 remains] B2 nodes "History slice" (DELETE + INSERT new_deals_history … orchestrator = 'n8n') and "Run log" (INSERT new_deals_runs … 'n8n',
status 'OK'); n8n execution records in Cloud SQL (90 days, EXECUTIONS_DATA_MAX_AGE=2160) and NEW_DEALS_ERRORS.json e-mails failures.
B1: new_deals_runs.status from the function records the delivery outcome.</t>
        </is>
      </c>
      <c r="E15" s="4" t="inlineStr">
        <is>
          <t>sql/new_deals_weekly.sql writes new_deals_history and new_deals_runs (orchestrator = 'bigquery-scheduled-query', ABORTED row on a
stale sync) inside the transaction; writeback/index.mjs writes hubspot.writeback_log (run_ts, deal_id, new/previous values, status
OK | ERROR | DRY, http_status, error, dry_run); plus `bq ls --transfer_run` history. DDL: cloud_function_new_deals/bigquery_schema.sql
(new_deals_runs, new_deals_history) + sql/audit_tables.sql (writeback_log). Pass 3 phase 1: data_gaps on the runs row (sync_stale on
the ABORTED row; source_detail_unavailable; raw_backfilled_from_current_sync when run_time is older than an hour) and the deals_raw /
labels_raw slices from sql/land_raw.sql, kept even when the transaction fails. DDL for both raw tables: bigquery_schema.sql. Phase 2:
the procedure writes the runs row (OK, FAILED with @@error.message, or dry_run = TRUE) and the history slice; the script adds
raw_landing_failed / raw_slice_replaced / labels_missing from its landing, the procedure labels_missing / dedup_horizon_partial.</t>
        </is>
      </c>
      <c r="F15" s="4" t="inlineStr">
        <is>
          <t>The procedure writes the history slice and the runs row (OK with rows_written, duplicate_suspects, day1_hot, data_gaps; FAILED with @@error.message after a ROLLBACK, then RAISE; dry_run TRUE for a dry run); the gaps it decides: labels_missing, dedup_horizon_partial. The raw slices are the audit's inputs: `SELECT * FROM new_deals_batch_rows(X, …)` recomputes any past run without writing.</t>
        </is>
      </c>
      <c r="G15" s="6" t="inlineStr">
        <is>
          <t>Parallel</t>
        </is>
      </c>
      <c r="H15" s="4" t="inlineStr">
        <is>
          <t>Same two tables, same columns, one orchestrator value per surface, so one query answers "what ran, what landed" for all three;
writeback_log exists only where a write-back exists (C's job). Per-surface extras (Cloud Logging, n8n executions, transfer-run
history) are additive, not the record.</t>
        </is>
      </c>
      <c r="I15" s="4" t="inlineStr">
        <is>
          <t>None needed for the tables; `deploy.sh probe` is the shared query. R44 (closed): new_deals_history now lives in bigquery_schema.sql, so
`deploy.sh tables` creates it; sql/audit_tables.sql keeps writeback_log.</t>
        </is>
      </c>
      <c r="J15" s="4" t="inlineStr">
        <is>
          <t>A: tests/test_main_offline.py (new_deals_runs row status OK orchestrator cloud-run-function; history load present); B2:
tests/test_n8n_code.py ('n8n' in runlog_sql, IF(dry, 0, n)); C: SQL read; sql/apply.sh DRYRUN=1 renders audit_tables.sql (2 DDL).
Rows present: not yet — first authenticated run.</t>
        </is>
      </c>
    </row>
    <row r="16">
      <c r="A16" s="4" t="inlineStr">
        <is>
          <t>L14</t>
        </is>
      </c>
      <c r="B16" s="4" t="inlineStr">
        <is>
          <t>Access control</t>
        </is>
      </c>
      <c r="C16" s="4" t="inlineStr">
        <is>
          <t>Private service (--no-allow-unauthenticated); `deploy.sh invoker` binds roles/run.invoker to new-deals-fn@ for the Scheduler's OIDC token; humans need run.invoker for `deploy.sh dry`/`run` (Owner/Editor have it); when gcloud's active account is a service account (Workbench instance, VM) `invoke` mints the ID token with --audiences $URL, which Cloud Run requires for service accounts (R48); SA roles: bigquery.jobUser (project), dataEditor (dataset DCL — on the whole dataset, e.g. mrload), secretmanager.secretAccessor (hubspot-token); HubSpot read-only private app.</t>
        </is>
      </c>
      <c r="D16" s="4" t="inlineStr">
        <is>
          <t>n8n service is public (allUsers roles/run.invoker, deploy_n8n.sh) — editor protected by the owner account + 2FA, every webhook by
Header Auth X-Delivery-Token (secret n8n-webhook-token); IAP not used because it would also intercept the Scheduler's webhook calls
(B-G16). n8n-bq@ dataset dataEditor via the SA key; n8n-run@ cloudsql.client + secretAccessor.</t>
        </is>
      </c>
      <c r="E16" s="4" t="inlineStr">
        <is>
          <t>Dataset IAM only: dataEditor for new-deals-sql@ and new-deals-writeback@ (DCL GRANT), dataViewer on hubspot / dataEditor on hubspot_dev
for Claude's ADC (proposed); roles/run.invoker on the job for new-deals-scheduler@; secretAccessor on hubspot-token-write for the job SA;
two HubSpot private apps (read for DTS/A, crm.objects.deals.write for the job) + a one-off crm.schemas.deals.write token.</t>
        </is>
      </c>
      <c r="F16" s="4" t="inlineStr">
        <is>
          <t>bigquery.routines.get + jobs.create to CALL; dataEditor on the dataset covers every table the procedure writes; nothing outside the dataset — no sync dataset, no HubSpot.</t>
        </is>
      </c>
      <c r="G16" s="8" t="inlineStr">
        <is>
          <t>Divergent</t>
        </is>
      </c>
      <c r="H16" s="4" t="inlineStr">
        <is>
          <t>A and C are IAM-only (OIDC/OAuth, private surfaces); B exposes a public URL guarded by an application secret and holds a key and a token
copy in its own database. Least privilege holds only if the write token never reaches A's function or n8n.</t>
        </is>
      </c>
      <c r="I16" s="4" t="inlineStr">
        <is>
          <t>Header Auth on every webhook (build_workflow.py CRED["header"]), token from Secret Manager (scheduler.sh reads it), separate write app
pinned to the job (deploy_job.sh), the same DCL GRANT per identity; revisit IAP only with an IAP-aware Scheduler identity.</t>
        </is>
      </c>
      <c r="J16" s="4" t="inlineStr">
        <is>
          <t>Bindings read in deploy.sh invoker, deploy_n8n.sh, secrets.sh, deploy_job.sh (DRYRUN=1 prints them); NEW_DEALS_*.json webhooks carry
authentication headerAuth (read). Policies applied: not yet — first authenticated run.</t>
        </is>
      </c>
    </row>
    <row r="17">
      <c r="A17" s="4" t="inlineStr">
        <is>
          <t>L15</t>
        </is>
      </c>
      <c r="B17" s="4" t="inlineStr">
        <is>
          <t>Concurrency &amp; retry safety</t>
        </is>
      </c>
      <c r="C17" s="4" t="inlineStr">
        <is>
          <t>Data model first: report_state.lock_until lease taken by one atomic UPDATE (num_dml_affected_rows == 1, LEASE_MINUTES=12; an
overlapping run gets 409 and writes nothing), land → CALL new_deals_batch (MERGE on deal_id in one transaction) → watermark after the CALL. Runtime second:
--max-instances 1 --concurrency 1, --timeout 540 &lt; --attempt-deadline 600s, 3 retries, schedules offset 07:00 / 07:20 so the two
entities never share a minute.</t>
        </is>
      </c>
      <c r="D17" s="4" t="inlineStr">
        <is>
          <t>[B2 retired in pass 3 phase 3 (D6): the text records the design as built; only B1 remains] B2: N8N_CONCURRENCY_PRODUCTION_LIMIT=1 + maxScale 1 serialise executions; Webhook responseMode responseNode (responds when done) with
timeoutSeconds 900 ≥ attempt-deadline 900s so Scheduler retries only on real failure; cpu-throttling false; Error Workflow. No lease
row is acquired (the watermark MERGE only clears lock_until). B1: A's guards; the delivery tail is at-least-once.</t>
        </is>
      </c>
      <c r="E17" s="4" t="inlineStr">
        <is>
          <t>SQL half: one MERGE transaction; BigQuery cancels conflicting mutations on the same table, so two overlapping scheduled runs cannot
interleave. Job half: jobs.run returns immediately (Scheduler's retries cover start failures only), --max-retries 2 per task,
overlapping executions allowed — safe because the PATCH is value-idempotent and the delta view consults writeback_log first (C-G9).</t>
        </is>
      </c>
      <c r="F17" s="4" t="inlineStr">
        <is>
          <t>One transaction per CALL over new_deals / new_deals_history / new_deals_runs / report_state: conflicting transactions are cancelled by the engine, so callers never share a minute (A's lease per entity, C's per-entity off-the-hour schedules); the lease check RAISEs for an advance_state caller while A holds the entity; CREATE OR REPLACE TEMP TABLE lets one script CALL twice; the handler's ROLLBACK is wrapped so a cancelled transaction still leaves its FAILED row.</t>
        </is>
      </c>
      <c r="G17" s="8" t="inlineStr">
        <is>
          <t>Divergent</t>
        </is>
      </c>
      <c r="H17" s="4" t="inlineStr">
        <is>
          <t>Three guards (lease + instance cap / n8n concurrency limit / transaction + idempotent PATCH). A's instance cap alone does not serialise
a retry after a 504 and would 429 the second entity (G04, contested) — hence the lease and the offset schedules; B2 relies on the n8n
process limit; C has no instance cap at all.</t>
        </is>
      </c>
      <c r="I17" s="4" t="inlineStr">
        <is>
          <t>Shared safety comes from the data model (MERGE + frozen columns + watermark-after-MERGE + value-idempotent PATCH), which every surface
has. To match A exactly, B2 would add the lease UPDATE as a node before "HubSpot search" (open); C's job may add a weekly lease row in
writeback_log (optional).</t>
        </is>
      </c>
      <c r="J17" s="4" t="inlineStr">
        <is>
          <t>A: tests/test_main_offline.py::test_overlapping_run_gets_409_and_writes_nothing; B2: service.yaml values read; C: by reading the SQL and
index.mjs. Under real retries: not yet — first authenticated run.</t>
        </is>
      </c>
    </row>
    <row r="18">
      <c r="A18" s="4" t="inlineStr">
        <is>
          <t>L16</t>
        </is>
      </c>
      <c r="B18" s="4" t="inlineStr">
        <is>
          <t>Observability</t>
        </is>
      </c>
      <c r="C18" s="4" t="inlineStr">
        <is>
          <t>JSON log lines (severity, message, entity, run_ts, rows, written, window, duration_ms — Cloud Logging parses them), Cloud Run request
logs, Scheduler job status; `deploy.sh probe` (new_deals per entity + last 10 new_deals_runs), `deploy.sh status` (report_state incl.
lock_until + job state), `deploy.sh logs`.</t>
        </is>
      </c>
      <c r="D18" s="4" t="inlineStr">
        <is>
          <t>n8n Executions list (per-node data, 90 days), NEW_DEALS_ERRORS.json e-mails workflow/node/error, n8n stdout in Cloud Logging, Scheduler
job status; the same bq probes over new_deals_runs (orchestrator = 'n8n').</t>
        </is>
      </c>
      <c r="E18" s="4" t="inlineStr">
        <is>
          <t>Scheduled-query run history (`bq ls --transfer_run`, failure notifications), DTS run history, Cloud Run job execution status and the
job's JSON summary line ({run_ts, patched, errors, dry}); SQL probes: new_deals_runs by entity/orchestrator and writeback_log by status.</t>
        </is>
      </c>
      <c r="F18" s="4" t="inlineStr">
        <is>
          <t>new_deals_runs (status, error, duration_ms up to the transaction's opening, data_gaps), new_deals_history, deals_raw / labels_raw; the caller's log line; the job history (one query job per CALL, the procedure's statements as its child jobs in INFORMATION_SCHEMA.JOBS).</t>
        </is>
      </c>
      <c r="G18" s="8" t="inlineStr">
        <is>
          <t>Divergent</t>
        </is>
      </c>
      <c r="H18" s="4" t="inlineStr">
        <is>
          <t>Different consoles and log shapes; the ABORTED run row (stale sync) exists only in C, the delivery status only in A/B1, the n8n
execution record only in B.</t>
        </is>
      </c>
      <c r="I18" s="4" t="inlineStr">
        <is>
          <t>One documented bq probe set for all three — `deploy.sh probe` and `deploy.sh status` read tables every surface writes; add
`SELECT status, COUNT(*) FROM writeback_log WHERE DATE(run_ts) = CURRENT_DATE() GROUP BY status` for C.</t>
        </is>
      </c>
      <c r="J18" s="4" t="inlineStr">
        <is>
          <t>Log formatter and probe SQL read; test output shows the JSON lines ("run complete", "run already in progress"). Logs in Cloud Logging:
not yet — first authenticated run.</t>
        </is>
      </c>
    </row>
    <row r="19">
      <c r="A19" s="4" t="inlineStr">
        <is>
          <t>L17</t>
        </is>
      </c>
      <c r="B19" s="4" t="inlineStr">
        <is>
          <t>Cost &amp; scale-to-zero</t>
        </is>
      </c>
      <c r="C19" s="4" t="inlineStr">
        <is>
          <t>Scale to zero between two weekly invocations; 512 Mi, seconds of compute; BigQuery MERGE over a tiny table; two Scheduler jobs within
the 3 free; Secret Manager within the free versions; europe-west6 Tier-2 pricing. ≈ &lt; $1/month.</t>
        </is>
      </c>
      <c r="D19" s="4" t="inlineStr">
        <is>
          <t>Cloud SQL db-f1-micro ≈ $8.6/month is the floor (no SLA, B-G18); n8n at minScale 0 with Scheduler → webhook ≈ $0–2; total ≈ $9–11/month.
The in-app Schedule Trigger variant needs minScale 1 + cpu always on ≈ $61–80/month (documented, not scaffolded).</t>
        </is>
      </c>
      <c r="E19" s="4" t="inlineStr">
        <is>
          <t>DTS HubSpot transfers free in Preview; scheduled queries a few MB/week inside the 1 TiB free tier; storage &lt; 10 GiB; Cloud Run job minutes
inside the free tier; third Scheduler job free (a fourth $0.10/month). HubSpot's native sync would need Data Hub Enterprise (not chosen).</t>
        </is>
      </c>
      <c r="F19" s="4" t="inlineStr">
        <is>
          <t>One query job per CALL over kilobytes (the slice) plus the 90-day horizon scan of deals_raw (clustered by entity, deal_id, createdate; partitioned by run_ts, 730-day expiry); no runtime, no instance, no scale-to-zero question.</t>
        </is>
      </c>
      <c r="G19" s="8" t="inlineStr">
        <is>
          <t>Divergent</t>
        </is>
      </c>
      <c r="H19" s="4" t="inlineStr">
        <is>
          <t>A and C scale to zero and stay inside free tiers; B carries an always-on database and either a sleeping instance (webhook variant) or an
always-on one (Schedule Trigger variant). Preview pricing of the DTS connector may change at GA (C-G14).</t>
        </is>
      </c>
      <c r="I19" s="4" t="inlineStr">
        <is>
          <t>Keep B on the Scheduler → webhook variant (MIN_SCALE=0 in .env); accept the Cloud SQL floor as the price of the editor; re-check the
billing export after the first month.</t>
        </is>
      </c>
      <c r="J19" s="4" t="inlineStr">
        <is>
          <t>Figures from result_B / result_C pricing lookups (2026-10-05); no bill yet — first month after the first authenticated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  <col width="50" customWidth="1" min="9" max="9"/>
    <col width="50" customWidth="1" min="10" max="10"/>
  </cols>
  <sheetData>
    <row r="1">
      <c r="A1" s="3" t="inlineStr">
        <is>
          <t>#</t>
        </is>
      </c>
      <c r="B1" s="3" t="inlineStr">
        <is>
          <t>Step</t>
        </is>
      </c>
      <c r="C1" s="3" t="inlineStr">
        <is>
          <t>Gate</t>
        </is>
      </c>
      <c r="D1" s="3" t="inlineStr">
        <is>
          <t>A · Cloud Run function (deploy.sh → gcloud run deploy --function, Scheduler OIDC, Secret Manager, BigQuery MERGE) — operator surfaces: Cloud Shell runbook docs/RUNBOOK_CLOUD_SHELL.md and the Vertex AI Workbench notebook notebooks/cloudbq_deploy_and_witness.ipynb (same deploy.sh) — cell</t>
        </is>
      </c>
      <c r="E1" s="3" t="inlineStr">
        <is>
          <t>B · n8n on Cloud Run (B1 delivery tail NEW_DEALS_DELIVERY.json; B2 — n8n owning the pipeline, NEW_DEALS_FULL.json — retired in pass 3 phase 3, decision D6; its cells record the design as built) — command</t>
        </is>
      </c>
      <c r="F1" s="3" t="inlineStr">
        <is>
          <t>C · BigQuery compute (synced deals, hot_score_v1 UDF, scheduled script) + Node 22 write-back job; Breeze reads, Claude iterates — command</t>
        </is>
      </c>
      <c r="G1" s="3" t="inlineStr">
        <is>
          <t>R · The raw root + the one SQL implementation (deals_raw / labels_raw → deals_landed_v1 → new_deals_batch_rows → new_deals_batch), CALLed by A after its landing and by C after its landing — pass 3 (2026-10-21); not a scenario but what every scenario executes — command</t>
        </is>
      </c>
      <c r="H1" s="3" t="inlineStr">
        <is>
          <t>Parity</t>
        </is>
      </c>
      <c r="I1" s="3" t="inlineStr">
        <is>
          <t>Identical artefact to compare</t>
        </is>
      </c>
      <c r="J1" s="3" t="inlineStr">
        <is>
          <t>Notes</t>
        </is>
      </c>
    </row>
    <row r="2">
      <c r="A2" s="4" t="n">
        <v>1</v>
      </c>
      <c r="B2" s="4" t="inlineStr">
        <is>
          <t>check-env</t>
        </is>
      </c>
      <c r="C2" s="4" t="inlineStr"/>
      <c r="D2" s="4" t="inlineStr">
        <is>
          <t>deploy.sh check-env — refuses an unset or placeholder PROJECT REGION DATASET FN SA_NAME BQ_LOCATION; requires gcloud and bq</t>
        </is>
      </c>
      <c r="E2" s="4" t="inlineStr">
        <is>
          <t>same .env; deploy/n8n/deploy_n8n.sh refuses an unset PROJECT and N8N_IMAGE=:latest; secrets.sh / cloudsql.sh require PROJECT (scheduler.sh retired with B2)</t>
        </is>
      </c>
      <c r="F2" s="4" t="inlineStr">
        <is>
          <t>same .env; sql/apply.sh refuses placeholders in PROJECT SYNC_DATASET SYNC_DEALS_TABLE SYNC_OWNERS_TABLE; writeback/deploy_job.sh requires HUBSPOT_WRITE_TOKEN_VERSION</t>
        </is>
      </c>
      <c r="G2" s="4" t="inlineStr">
        <is>
          <t>n/a — no settings of its own; the callers' .env (PROJECT, DATASET, PORTAL_ID) renders the four files</t>
        </is>
      </c>
      <c r="H2" s="7" t="inlineStr">
        <is>
          <t>Conditional</t>
        </is>
      </c>
      <c r="I2" s="4" t="inlineStr">
        <is>
          <t>the echo line "project=… region=… dataset=… fn=… sa=… schedules: …" (A); rendered files without "${" (B, C)</t>
        </is>
      </c>
      <c r="J2" s="4" t="inlineStr">
        <is>
          <t>Same result when all three read the one .env copied from .env.example (they do). SYNC_* values exist only after C's first transfer run (R36).</t>
        </is>
      </c>
    </row>
    <row r="3">
      <c r="A3" s="4" t="n">
        <v>2</v>
      </c>
      <c r="B3" s="4" t="inlineStr">
        <is>
          <t>enable-apis</t>
        </is>
      </c>
      <c r="C3" s="4" t="inlineStr"/>
      <c r="D3" s="4" t="inlineStr">
        <is>
          <t>deploy.sh enable-apis — run, cloudbuild, artifactregistry, secretmanager, cloudscheduler, bigquery</t>
        </is>
      </c>
      <c r="E3" s="4" t="inlineStr">
        <is>
          <t>deploy/n8n/deploy_n8n.sh enables run, sqladmin, secretmanager, cloudscheduler inline; cloudsql.sh enables sqladmin</t>
        </is>
      </c>
      <c r="F3" s="4" t="inlineStr">
        <is>
          <t>n/a in scripts — bigquerydatatransfer.googleapis.com (scheduled queries, DTS) is not enabled by any script (R45)</t>
        </is>
      </c>
      <c r="G3" s="4" t="inlineStr">
        <is>
          <t>bigquery.googleapis.com, already enabled by every lane</t>
        </is>
      </c>
      <c r="H3" s="8" t="inlineStr">
        <is>
          <t>Divergent</t>
        </is>
      </c>
      <c r="I3" s="4" t="inlineStr">
        <is>
          <t>gcloud services list --enabled shows the APIs</t>
        </is>
      </c>
      <c r="J3" s="4" t="inlineStr">
        <is>
          <t>Idempotent on every surface. C relies on the BigQuery Data Transfer API being already on.</t>
        </is>
      </c>
    </row>
    <row r="4">
      <c r="A4" s="4" t="n">
        <v>3</v>
      </c>
      <c r="B4" s="4" t="inlineStr">
        <is>
          <t>iam</t>
        </is>
      </c>
      <c r="C4" s="4" t="inlineStr"/>
      <c r="D4" s="4" t="inlineStr">
        <is>
          <t>deploy.sh iam — SA new-deals-fn (describe || create), roles/bigquery.jobUser, roles/run.builder for &lt;project-number&gt;-compute@</t>
        </is>
      </c>
      <c r="E4" s="4" t="inlineStr">
        <is>
          <t>deploy/n8n/secrets.sh — SAs n8n-run (cloudsql.client, secretAccessor ×3) and n8n-bq (jobUser + DCL GRANT + JSON key → deploy/n8n/.secrets/)</t>
        </is>
      </c>
      <c r="F4" s="4" t="inlineStr">
        <is>
          <t>sql/scheduled_query.sh — SA new-deals-sql (jobUser + DCL GRANT); writeback/deploy_job.sh deploy — SAs new-deals-writeback (jobUser + GRANT + secretAccessor) and new-deals-scheduler</t>
        </is>
      </c>
      <c r="G4" s="4" t="inlineStr">
        <is>
          <t>the callers' SAs: dataEditor on the dataset (routines included) + jobUser — granted by deploy.sh iam / tables and by scheduled_query.sh</t>
        </is>
      </c>
      <c r="H4" s="8" t="inlineStr">
        <is>
          <t>Divergent</t>
        </is>
      </c>
      <c r="I4" s="4" t="inlineStr">
        <is>
          <t>gcloud iam service-accounts list shows the SAs; gcloud projects get-iam-policy shows the bindings</t>
        </is>
      </c>
      <c r="J4" s="4" t="inlineStr">
        <is>
          <t>Five identities in all; only B needs a key (B-G10). Each script is describe-then-create.</t>
        </is>
      </c>
    </row>
    <row r="5">
      <c r="A5" s="4" t="n">
        <v>4</v>
      </c>
      <c r="B5" s="4" t="inlineStr">
        <is>
          <t>tables</t>
        </is>
      </c>
      <c r="C5" s="4" t="inlineStr"/>
      <c r="D5" s="4" t="inlineStr">
        <is>
          <t>deploy.sh tables — renders bigquery_schema.sql (CREATE SCHEMA, report_state + lock_until, new_deals, new_deals_runs (+data_gaps), new_deals_history, deals_raw, labels_raw, new_deals_last_7d) then GRANT dataEditor; deploy.sh routines — hot_score_v1, deals_landed_v1 + new_deals_batch_rows, new_deals_batch (the objects the function CALLs since pass 3; no SYNC_* needed)</t>
        </is>
      </c>
      <c r="E5" s="4" t="inlineStr">
        <is>
          <t>n/a — n8n writes no table (B1 only; B2 retired in pass 3 phase 3, D6)</t>
        </is>
      </c>
      <c r="F5" s="4" t="inlineStr">
        <is>
          <t>sql/apply.sh — bigquery_schema.sql → audit_tables.sql (new_deals_history, writeback_log) → hot_score_v1.sql → deals_synced_v1.sql → hot_deals_v1.sql</t>
        </is>
      </c>
      <c r="G5" s="4" t="inlineStr">
        <is>
          <t>deploy.sh tables + deploy.sh routines (or sql/apply.sh): deals_raw, labels_raw, new_deals_runs.data_gaps; hot_score_v1; deals_landed_v1 + new_deals_batch_rows; new_deals_batch — OR REPLACE, re-runnable</t>
        </is>
      </c>
      <c r="H5" s="8" t="inlineStr">
        <is>
          <t>Divergent</t>
        </is>
      </c>
      <c r="I5" s="4" t="inlineStr">
        <is>
          <t>bq ls $PROJECT:hubspot lists report_state, new_deals, new_deals_runs, new_deals_history, writeback_log, hot_score_v1, the views</t>
        </is>
      </c>
      <c r="J5" s="4" t="inlineStr">
        <is>
          <t>All DDL is IF NOT EXISTS / OR REPLACE. Until R44 is folded in, run sql/apply.sh (or audit_tables.sql) before the first live run of A or B2.</t>
        </is>
      </c>
    </row>
    <row r="6">
      <c r="A6" s="4" t="n">
        <v>5</v>
      </c>
      <c r="B6" s="4" t="inlineStr">
        <is>
          <t>secret</t>
        </is>
      </c>
      <c r="C6" s="4" t="inlineStr"/>
      <c r="D6" s="4" t="inlineStr">
        <is>
          <t>IFS= read -rsp … HUBSPOT_TOKEN; HUBSPOT_TOKEN="$HUBSPOT_TOKEN" deploy.sh secret — hubspot-token create or versions add (a version per run), secretAccessor for the SA; prints the version NUMBER (value(name.basename()), R47) to pin in .env SECRET_VERSION (optional: deploy resolves the newest enabled number)</t>
        </is>
      </c>
      <c r="E6" s="4" t="inlineStr">
        <is>
          <t>deploy/n8n/secrets.sh — n8n-encryption-key, n8n-db-password, n8n-webhook-token (generated, create-only); HubSpot token copied by hand into an n8n credential</t>
        </is>
      </c>
      <c r="F6" s="4" t="inlineStr">
        <is>
          <t>printf '%s' "$WRITE_TOKEN" | gcloud secrets create hubspot-token-write --data-file=- (manual; not scripted) then HUBSPOT_SCHEMA_TOKEN=… writeback/bootstrap_property.sh (one-off)</t>
        </is>
      </c>
      <c r="G6" s="4" t="inlineStr">
        <is>
          <t>n/a — no secret</t>
        </is>
      </c>
      <c r="H6" s="8" t="inlineStr">
        <is>
          <t>Divergent</t>
        </is>
      </c>
      <c r="I6" s="4" t="inlineStr">
        <is>
          <t>gcloud secrets versions list &lt;name&gt; shows an enabled version; HubSpot GET /crm/v3/properties/deals/hot_score_v1 → 200 (C)</t>
        </is>
      </c>
      <c r="J6" s="4" t="inlineStr">
        <is>
          <t>Tokens never pass through .env or git. C needs a second private app with crm.objects.deals.write (R35).</t>
        </is>
      </c>
    </row>
    <row r="7">
      <c r="A7" s="4" t="n">
        <v>6</v>
      </c>
      <c r="B7" s="4" t="inlineStr">
        <is>
          <t>deploy</t>
        </is>
      </c>
      <c r="C7" s="4" t="inlineStr">
        <is>
          <t>LIVE DEPLOY</t>
        </is>
      </c>
      <c r="D7" s="4" t="inlineStr">
        <is>
          <t>deploy.sh deploy — gcloud run deploy $FN --source . --function new_deals_report --base-image python312 --no-allow-unauthenticated --service-account $SA --timeout 540 --memory 512Mi --max-instances 1 --concurrency 1 --set-env-vars … --set-secrets HUBSPOT_TOKEN=hubspot-token:&lt;ver&gt;</t>
        </is>
      </c>
      <c r="E7" s="4" t="inlineStr">
        <is>
          <t>deploy/n8n/cloudsql.sh → deploy/n8n/deploy_n8n.sh (services replace, allUsers invoker) → create credentials in the UI, fill workflows/credentials.map.json → N8N_URL=… N8N_API_KEY=… deploy/n8n/import_workflows.sh</t>
        </is>
      </c>
      <c r="F7" s="4" t="inlineStr">
        <is>
          <t>sql/sync_transfer.sh (first transfer) → fill SYNC_* in .env → sql/apply.sh → HUBSPOT_TOKEN=… sql/refresh_pipeline_labels.sh → DISABLE_SCHEDULE=1 sql/scheduled_query.sh → writeback/deploy_job.sh (WRITEBACK_APPROVE=0)</t>
        </is>
      </c>
      <c r="G7" s="4" t="inlineStr">
        <is>
          <t>deploy.sh routines IS the deploy (DDL only, no runtime); nothing executes until a caller CALLs</t>
        </is>
      </c>
      <c r="H7" s="8" t="inlineStr">
        <is>
          <t>Divergent</t>
        </is>
      </c>
      <c r="I7" s="4" t="inlineStr">
        <is>
          <t>A: revision Ready, URL printed; B: n8n URL printed, 3 workflows listed in the editor; C: 2 transfer configs new-deals-&lt;entity&gt;-C (no auto scheduling), job new-deals-writeback</t>
        </is>
      </c>
      <c r="J7" s="4" t="inlineStr">
        <is>
          <t>A's canonical form (R05). B: publish/activate only after a manual test execution. C: the DTS connector decides the synced table names (R36).</t>
        </is>
      </c>
    </row>
    <row r="8">
      <c r="A8" s="4" t="n">
        <v>7</v>
      </c>
      <c r="B8" s="4" t="inlineStr">
        <is>
          <t>invoker</t>
        </is>
      </c>
      <c r="C8" s="4" t="inlineStr"/>
      <c r="D8" s="4" t="inlineStr">
        <is>
          <t>deploy.sh invoker — roles/run.invoker for the SA on the service; Scheduler jobs new-deals-SEALSQ / -ICALPS created PAUSED (OIDC, audience = URL, 600s, 3 retries)</t>
        </is>
      </c>
      <c r="E8" s="4" t="inlineStr">
        <is>
          <t>n/a — B1 has no trigger of its own: the function POSTs to NEW_DEALS_DELIVERY (B2 and deploy/n8n/scheduler.sh retired in pass 3 phase 3, D6)</t>
        </is>
      </c>
      <c r="F8" s="4" t="inlineStr">
        <is>
          <t>writeback/deploy_job.sh deploy also binds roles/run.invoker for new-deals-scheduler@ on the job and creates Scheduler job new-deals-writeback (30 5 * * 1 Zurich, OAuth) — enabled, but the job stays DRY</t>
        </is>
      </c>
      <c r="G8" s="4" t="inlineStr">
        <is>
          <t>n/a — no trigger of its own; the callers' triggers</t>
        </is>
      </c>
      <c r="H8" s="8" t="inlineStr">
        <is>
          <t>Divergent</t>
        </is>
      </c>
      <c r="I8" s="4" t="inlineStr">
        <is>
          <t>gcloud scheduler jobs list --location $REGION shows the jobs (A/B PAUSED, C ENABLED); gcloud run services get-iam-policy $FN shows run.invoker for the SA</t>
        </is>
      </c>
      <c r="J8" s="4" t="inlineStr">
        <is>
          <t>R02: without run.invoker Scheduler gets 403. Three auth mechanisms (OIDC / shared header / OAuth to jobs.run).</t>
        </is>
      </c>
    </row>
    <row r="9">
      <c r="A9" s="4" t="n">
        <v>8</v>
      </c>
      <c r="B9" s="4" t="inlineStr">
        <is>
          <t>dry</t>
        </is>
      </c>
      <c r="C9" s="4" t="inlineStr"/>
      <c r="D9" s="4" t="inlineStr">
        <is>
          <t>deploy.sh dry — curl -sSf $URL?entity=SEALSQ&amp;dry_run=1 and ICALPS with the caller's identity token (a service account's carries audience = $URL, R48); asserts rows_written == 0 and dry_run true; an HTTP 403 (caller lacks run.invoker) or 409 (lease held) fails the step (R50); prints rows/dup/hot/window</t>
        </is>
      </c>
      <c r="E9" s="4" t="inlineStr">
        <is>
          <t>n/a — B1 has no dry run of its own; a dry run of the function POSTs nothing (B2 retired in pass 3 phase 3, D6)</t>
        </is>
      </c>
      <c r="F9" s="4" t="inlineStr">
        <is>
          <t>DRYRUN=1 sql/scheduled_query.sh (bq query --dry_run of both rendered scripts); writeback/deploy_job.sh execute with WRITEBACK_APPROVE=0 → writeback_log rows status DRY; optional full rehearsal in a hubspot_dev dataset</t>
        </is>
      </c>
      <c r="G9" s="4" t="inlineStr">
        <is>
          <t>tests/pass3_batch_vectors.sql in a dev dataset (15 vectors through root → view → table function, every row ok = TRUE, slice dropped); then deploy.sh dry exercises the procedure's dry branch end to end (one runs row per entity, rows_written 0)</t>
        </is>
      </c>
      <c r="H9" s="7" t="inlineStr">
        <is>
          <t>Conditional</t>
        </is>
      </c>
      <c r="I9" s="4" t="inlineStr">
        <is>
          <t>payload {report_id, run_timestamp, orchestrator, dry_run: true, window{watermark_in, query_start, query_end}, row_count, rows_written: 0, duplicate_suspects, day1_hot[], data_gaps[], rows[]} (A; since pass 3 also one new_deals_runs row with dry_run TRUE); bytes processed + DRY rows (C)</t>
        </is>
      </c>
      <c r="J9" s="4" t="inlineStr">
        <is>
          <t>THE GATE before any LIVE row below. A's dry run exercises the whole SQL path (landing, table function, the procedure's dry branch), so a missing routine or a broken view fails here (B2 retired). C's SQL half has no compute-only mode; its dry run is syntax + the dev dataset.</t>
        </is>
      </c>
    </row>
    <row r="10">
      <c r="A10" s="4" t="n">
        <v>9</v>
      </c>
      <c r="B10" s="4" t="inlineStr">
        <is>
          <t>run</t>
        </is>
      </c>
      <c r="C10" s="4" t="inlineStr">
        <is>
          <t>LIVE NEW_DEALS_WRITE</t>
        </is>
      </c>
      <c r="D10" s="4" t="inlineStr">
        <is>
          <t>deploy.sh run SEALSQ then deploy.sh run ICALPS — one live window run each (the first without a watermark looks back FIRST_RUN_DAYS); prints report_id, run_timestamp, window, row_count, rows_written, duplicate_suspects, day1_hot; refuses an error payload or one without rows_written (R50); each run moves the watermark — the idempotency check is step 13 replay, not a second run (R52)</t>
        </is>
      </c>
      <c r="E10" s="4" t="inlineStr">
        <is>
          <t>n/a — B1 runs when the function delivers: the live run POSTs the payload to NEW_DEALS_DELIVERY (B2 retired, D6)</t>
        </is>
      </c>
      <c r="F10" s="4" t="inlineStr">
        <is>
          <t>bq mk --transfer_run --run_time=$(date -u +%FT%TZ) &lt;transfer config new-deals-SEALSQ-C&gt; (and ICALPS); then writeback/deploy_job.sh execute (still DRY until step 10)</t>
        </is>
      </c>
      <c r="G10" s="4" t="inlineStr">
        <is>
          <t>the callers' first live runs: deploy.sh run SEALSQ (CALL with advance_state FALSE) and bq mk --transfer_run (CALL with advance_state TRUE on NEW_DEALS_&lt;entity&gt;_C); then the acceptance SQL of docs/PASS3_RAW_ROOT.md (every history row has its raw row; the JSON carries the property names; data_gaps per run)</t>
        </is>
      </c>
      <c r="H10" s="7" t="inlineStr">
        <is>
          <t>Conditional</t>
        </is>
      </c>
      <c r="I10" s="4" t="inlineStr">
        <is>
          <t>rows_written == row_count; hubspot.new_deals holds the rows; report_state NEW_DEALS_&lt;entity&gt; (A) / NEW_DEALS_&lt;entity&gt;_C (C) watermark == run_timestamp; one new_deals_runs row per run (written by the procedure)</t>
        </is>
      </c>
      <c r="J10" s="4" t="inlineStr">
        <is>
          <t>First run with no watermark looks back FIRST_RUN_DAYS=7 (A) / 14 days lookback (C). Re-running the same window writes nothing new (MERGE). Requires the routines (deploy.sh routines / sql/apply.sh) — a missing procedure fails the CALL (deploy.sh dry catches it).</t>
        </is>
      </c>
    </row>
    <row r="11">
      <c r="A11" s="4" t="n">
        <v>10</v>
      </c>
      <c r="B11" s="4" t="inlineStr">
        <is>
          <t>enable</t>
        </is>
      </c>
      <c r="C11" s="4" t="inlineStr">
        <is>
          <t>LIVE SCHEDULER_ENABLE</t>
        </is>
      </c>
      <c r="D11" s="4" t="inlineStr">
        <is>
          <t>deploy.sh enable — gcloud scheduler jobs resume new-deals-SEALSQ / -ICALPS, only those in state PAUSED (idempotent, R49); pause likewise only ENABLED jobs</t>
        </is>
      </c>
      <c r="E11" s="4" t="inlineStr">
        <is>
          <t>activate NEW_DEALS_DELIVERY (UI or POST /api/v1/workflows/&lt;id&gt;/activate); nothing to schedule (B2 and scheduler.sh retired, D6)</t>
        </is>
      </c>
      <c r="F11" s="4" t="inlineStr">
        <is>
          <t>sql/scheduled_query.sh without DISABLE_SCHEDULE (bq update --transfer_config re-enables auto scheduling); writeback/deploy_job.sh live (WRITEBACK_APPROVE=1 on the job)</t>
        </is>
      </c>
      <c r="G11" s="4" t="inlineStr">
        <is>
          <t>n/a — the callers' schedules</t>
        </is>
      </c>
      <c r="H11" s="7" t="inlineStr">
        <is>
          <t>Conditional</t>
        </is>
      </c>
      <c r="I11" s="4" t="inlineStr">
        <is>
          <t>jobs ENABLED; gcloud scheduler jobs run new-deals-SEALSQ → HTTP 200 in the job log; C: transfer configs scheduled, job env WRITEBACK_APPROVE=1</t>
        </is>
      </c>
      <c r="J11" s="4" t="inlineStr">
        <is>
          <t>Only after step 8 passed on both entities and step 9 was probed. C's chain must keep its slack (per-entity, off-the-hour schedules); the procedure refuses to advance C's row while A holds the entity's lease.</t>
        </is>
      </c>
    </row>
    <row r="12">
      <c r="A12" s="4" t="n">
        <v>11</v>
      </c>
      <c r="B12" s="4" t="inlineStr">
        <is>
          <t>probe</t>
        </is>
      </c>
      <c r="C12" s="4" t="inlineStr"/>
      <c r="D12" s="4" t="inlineStr">
        <is>
          <t>deploy.sh probe — SELECT entity, COUNT(*) n, COUNTIF(day1_hot_flag) hot, COUNTIF(duplicate_suspect) dup, MIN(createdate), MAX(createdate) FROM new_deals GROUP BY entity; last 10 new_deals_runs</t>
        </is>
      </c>
      <c r="E12" s="4" t="inlineStr">
        <is>
          <t>same two bq queries (any shell with bq); n8n Executions list is additive</t>
        </is>
      </c>
      <c r="F12" s="4" t="inlineStr">
        <is>
          <t>same two bq queries; plus SELECT status, COUNT(*) FROM writeback_log WHERE DATE(run_ts) = CURRENT_DATE() GROUP BY status</t>
        </is>
      </c>
      <c r="G12" s="4" t="inlineStr">
        <is>
          <t>SELECT * FROM new_deals_batch_rows(&lt;run_ts&gt;, '&lt;entity&gt;', '&lt;orchestrator&gt;', NULL) — what the rules make of a run's inputs now, without writing; SELECT run_ts, entity, orchestrator, status, rows_written, data_gaps FROM new_deals_runs ORDER BY run_ts DESC</t>
        </is>
      </c>
      <c r="H12" s="6" t="inlineStr">
        <is>
          <t>Parallel</t>
        </is>
      </c>
      <c r="I12" s="4" t="inlineStr">
        <is>
          <t>the two result tables — identical from every scenario because every scenario writes the same dataset</t>
        </is>
      </c>
      <c r="J12" s="4" t="inlineStr">
        <is>
          <t>Paste the dated output verbatim into the Overview verdict and docs/EXECUTION_SURFACES.md after the first live run.</t>
        </is>
      </c>
    </row>
    <row r="13">
      <c r="A13" s="4" t="n">
        <v>12</v>
      </c>
      <c r="B13" s="4" t="inlineStr">
        <is>
          <t>status</t>
        </is>
      </c>
      <c r="C13" s="4" t="inlineStr"/>
      <c r="D13" s="4" t="inlineStr">
        <is>
          <t>deploy.sh status — SELECT report_id, watermark, lock_until, updated_at FROM report_state ORDER BY report_id; gcloud scheduler jobs describe (state, schedule, lastAttemptTime)</t>
        </is>
      </c>
      <c r="E13" s="4" t="inlineStr">
        <is>
          <t>same bq query (rows NEW_DEALS_&lt;entity&gt;); gcloud scheduler jobs describe n8n-new-deals-&lt;entity&gt;</t>
        </is>
      </c>
      <c r="F13" s="4" t="inlineStr">
        <is>
          <t>same bq query (rows NEW_DEALS_&lt;entity&gt;_C); bq ls --transfer_run &lt;config&gt;; gcloud run jobs executions list --job new-deals-writeback</t>
        </is>
      </c>
      <c r="G13" s="4" t="inlineStr">
        <is>
          <t>SELECT orchestrator, entity, COUNT(*), MIN(createdate) FROM deals_raw WHERE run_ts &gt;= TIMESTAMP_SUB(CURRENT_TIMESTAMP(), INTERVAL 90 DAY) GROUP BY 1, 2 — the horizon the duplicate rule reads; dedup_horizon_partial on the latest runs row says whether it is full</t>
        </is>
      </c>
      <c r="H13" s="6" t="inlineStr">
        <is>
          <t>Parallel</t>
        </is>
      </c>
      <c r="I13" s="4" t="inlineStr">
        <is>
          <t>one report_state row per entity per lane (A: NEW_DEALS_&lt;entity&gt;; C: _C); watermark == last successful run_timestamp; lock_until NULL between runs</t>
        </is>
      </c>
      <c r="J13" s="4" t="inlineStr">
        <is>
          <t>Where am I: the watermark is the checkpoint. The per-surface describe commands are additive.</t>
        </is>
      </c>
    </row>
    <row r="14">
      <c r="A14" s="4" t="n">
        <v>13</v>
      </c>
      <c r="B14" s="4" t="inlineStr">
        <is>
          <t>replay</t>
        </is>
      </c>
      <c r="C14" s="4" t="inlineStr">
        <is>
          <t>LIVE REPLAY</t>
        </is>
      </c>
      <c r="D14" s="4" t="inlineStr">
        <is>
          <t>deploy.sh replay SEALSQ FROM_ISO — UPDATE report_state SET watermark = TIMESTAMP 'FROM' WHERE report_id = 'NEW_DEALS_SEALSQ' then deploy.sh run SEALSQ; the runbook's idempotency check with FROM = window.query_start of the first run (R52): probe counts unchanged</t>
        </is>
      </c>
      <c r="E14" s="4" t="inlineStr">
        <is>
          <t>the same UPDATE with bq query, then POST the webhook for that entity (step 9, B column)</t>
        </is>
      </c>
      <c r="F14" s="4" t="inlineStr">
        <is>
          <t>bq mk --transfer_run --start_time=2026-09-28T04:00:00Z --end_time=2026-10-05T04:00:00Z &lt;config&gt;; HubSpot side: DELETE FROM writeback_log WHERE run_ts = … then gcloud run jobs execute new-deals-writeback</t>
        </is>
      </c>
      <c r="G14" s="4" t="inlineStr">
        <is>
          <t>CALL new_deals_batch with the same run_ts over the same slice (idempotent rewrite); a transfer run with a past run_time re-lands the slice (raw_backfilled_from_current_sync); deploy.sh replay opens a NEW run_ts — it adds a slice, never replaces one</t>
        </is>
      </c>
      <c r="H14" s="7" t="inlineStr">
        <is>
          <t>Conditional</t>
        </is>
      </c>
      <c r="I14" s="4" t="inlineStr">
        <is>
          <t>row count unchanged for an already-loaded window; last_seen_run advanced; day1_hot_score unchanged; a new new_deals_history slice per run_ts</t>
        </is>
      </c>
      <c r="J14" s="4" t="inlineStr">
        <is>
          <t>Backfill route (L12). Idempotent through the MERGE and the frozen set; C's lookback must cover the gap.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16" customWidth="1" min="4" max="4"/>
    <col width="46" customWidth="1" min="5" max="5"/>
    <col width="60" customWidth="1" min="6" max="6"/>
    <col width="24" customWidth="1" min="7" max="7"/>
  </cols>
  <sheetData>
    <row r="1">
      <c r="A1" s="3" t="inlineStr">
        <is>
          <t>ID</t>
        </is>
      </c>
      <c r="B1" s="3" t="inlineStr">
        <is>
          <t>Symptom</t>
        </is>
      </c>
      <c r="C1" s="3" t="inlineStr">
        <is>
          <t>Layer</t>
        </is>
      </c>
      <c r="D1" s="3" t="inlineStr">
        <is>
          <t>Surface(s)</t>
        </is>
      </c>
      <c r="E1" s="3" t="inlineStr">
        <is>
          <t>Cause</t>
        </is>
      </c>
      <c r="F1" s="3" t="inlineStr">
        <is>
          <t>Fix</t>
        </is>
      </c>
      <c r="G1" s="3" t="inlineStr">
        <is>
          <t>Verified / source</t>
        </is>
      </c>
    </row>
    <row r="2">
      <c r="A2" s="4" t="inlineStr">
        <is>
          <t>R01</t>
        </is>
      </c>
      <c r="B2" s="4" t="inlineStr">
        <is>
          <t>User risk table: bq query GRANT … TO 'serviceAccount:…' "fails at the principal"; on a fresh project the GRANT fails with dataset not found</t>
        </is>
      </c>
      <c r="C2" s="4" t="inlineStr">
        <is>
          <t>L1</t>
        </is>
      </c>
      <c r="D2" s="4" t="inlineStr">
        <is>
          <t>A B C</t>
        </is>
      </c>
      <c r="E2" s="4" t="inlineStr">
        <is>
          <t>Single-quoted principals are legal GoogleSQL (lexical reference) — the real failure is ordering: the GRANT ran before anything created the dataset (G12 CONFIRMED, corrects the risk table).</t>
        </is>
      </c>
      <c r="F2" s="4" t="inlineStr">
        <is>
          <t>deploy.sh tables: CREATE SCHEMA IF NOT EXISTS first (bigquery_schema.sql line 1), then GRANT `roles/bigquery.dataEditor` ON SCHEMA `${PROJECT}.${DATASET}` TO "serviceAccount:…" (double quotes kept to mirror the docs); same order in secrets.sh, scheduled_query.sh, deploy_job.sh.</t>
        </is>
      </c>
      <c r="G2" s="4" t="inlineStr">
        <is>
          <t>fixed in cloud_function_new_deals/deploy.sh tables() + bigquery_schema.sql (DRYRUN=1 renders; GRANT not yet executed)</t>
        </is>
      </c>
    </row>
    <row r="3">
      <c r="A3" s="4" t="inlineStr">
        <is>
          <t>R02</t>
        </is>
      </c>
      <c r="B3" s="4" t="inlineStr">
        <is>
          <t>User risk table / G02: Cloud Scheduler job gets 403 PERMISSION_DENIED invoking the private function</t>
        </is>
      </c>
      <c r="C3" s="4" t="inlineStr">
        <is>
          <t>L14</t>
        </is>
      </c>
      <c r="D3" s="4" t="inlineStr">
        <is>
          <t>A</t>
        </is>
      </c>
      <c r="E3" s="4" t="inlineStr">
        <is>
          <t>The SA carried bigquery.jobUser and dataEditor but not roles/run.invoker on the service (--no-allow-unauthenticated).</t>
        </is>
      </c>
      <c r="F3" s="4" t="inlineStr">
        <is>
          <t>deploy.sh invoker: gcloud run services add-iam-policy-binding $FN --member serviceAccount:$SA --role roles/run.invoker before the jobs are created; audience = service URL without query string.</t>
        </is>
      </c>
      <c r="G3" s="4" t="inlineStr">
        <is>
          <t>fixed in cloud_function_new_deals/deploy.sh invoker() (DRYRUN=1 prints the binding; 403 test not yet — first authenticated run)</t>
        </is>
      </c>
    </row>
    <row r="4">
      <c r="A4" s="4" t="inlineStr">
        <is>
          <t>R03</t>
        </is>
      </c>
      <c r="B4" s="4" t="inlineStr">
        <is>
          <t>User risk table / G03 / G04: two runs overlap (same-minute second entity, or a Scheduler retry after a slow attempt) — shared staging truncated, watermark advanced over lost rows, or the second entity 429s out</t>
        </is>
      </c>
      <c r="C4" s="4" t="inlineStr">
        <is>
          <t>L15</t>
        </is>
      </c>
      <c r="D4" s="4" t="inlineStr">
        <is>
          <t>A (B2 C need their own guard)</t>
        </is>
      </c>
      <c r="E4" s="4" t="inlineStr">
        <is>
          <t>main.py used one shared new_deals_staging with WRITE_TRUNCATE and both jobs had cron "0 7 * * 1"; --max-instances 1 --concurrency 1 alone does not serialise a retry after a 504 and turns the second job into 429s (G04 contested: the retry race needs a &gt; 540 s run, unrealistic at ~6 deals/week; the 429 starvation is real).</t>
        </is>
      </c>
      <c r="F4" s="4" t="inlineStr">
        <is>
          <t>Per-run staging new_deals_staging_&lt;entity&gt;_&lt;run_ts&gt; (merge_rows), report_state.lock_until lease via one atomic UPDATE (acquire_lease → 409), offset schedules SCHEDULE_ICALPS="20 7 * * 1"; the instance cap stays as defence in depth. B2: N8N_CONCURRENCY_PRODUCTION_LIMIT=1 + maxScale 1 + respond-when-finished; C: transaction + value-idempotent PATCH.</t>
        </is>
      </c>
      <c r="G4" s="4" t="inlineStr">
        <is>
          <t>fixed in main.py (tests/test_main_offline.py::test_live_uses_per_run_staging_and_frozen_update_list, ::test_overlapping_run_gets_409_and_writes_nothing); deploy/n8n/service.yaml; sql/new_deals_weekly.sql</t>
        </is>
      </c>
    </row>
    <row r="5">
      <c r="A5" s="4" t="inlineStr">
        <is>
          <t>R04</t>
        </is>
      </c>
      <c r="B5" s="4" t="inlineStr">
        <is>
          <t>User risk table / G11 / C-G8: a rotated HubSpot token is not used by running instances (--set-secrets …:latest)</t>
        </is>
      </c>
      <c r="C5" s="4" t="inlineStr">
        <is>
          <t>L2</t>
        </is>
      </c>
      <c r="D5" s="4" t="inlineStr">
        <is>
          <t>A C</t>
        </is>
      </c>
      <c r="E5" s="4" t="inlineStr">
        <is>
          <t>Env-var secrets resolve at instance start; Google recommends pinning a version. Contested for A: at weekly scale-to-zero every run is a cold start, so :latest would be re-read anyway — pinning is reviewability, not correctness.</t>
        </is>
      </c>
      <c r="F5" s="4" t="inlineStr">
        <is>
          <t>deploy.sh deploy pins hubspot-token:&lt;SECRET_VERSION or newest enabled number&gt;; writeback/deploy_job.sh refuses to deploy without HUBSPOT_WRITE_TOKEN_VERSION; rotation = secret + deploy / gcloud run jobs update --update-secrets.</t>
        </is>
      </c>
      <c r="G5" s="4" t="inlineStr">
        <is>
          <t>fixed in deploy.sh secret_version() and writeback/deploy_job.sh (contested materiality per result_A G11)</t>
        </is>
      </c>
    </row>
    <row r="6">
      <c r="A6" s="4" t="inlineStr">
        <is>
          <t>R05</t>
        </is>
      </c>
      <c r="B6" s="4" t="inlineStr">
        <is>
          <t>User risk table / G10: deploy.sh used gcloud functions deploy --gen2 (compatibility path) while the documented command is gcloud run deploy --function; URL source serviceConfig.uri breaks after migration</t>
        </is>
      </c>
      <c r="C6" s="4" t="inlineStr">
        <is>
          <t>L0</t>
        </is>
      </c>
      <c r="D6" s="4" t="inlineStr">
        <is>
          <t>A</t>
        </is>
      </c>
      <c r="E6" s="4" t="inlineStr">
        <is>
          <t>Two supported deploy surfaces for the same function; mixing them changes the URL and the Scheduler audience (contested: either alone works).</t>
        </is>
      </c>
      <c r="F6" s="4" t="inlineStr">
        <is>
          <t>deploy.sh deploy uses gcloud run deploy $FN --source . --function new_deals_report --base-image python312 … ; url() reads gcloud run services describe --format value(status.url); Scheduler jobs are create-or-update with that URL.</t>
        </is>
      </c>
      <c r="G6" s="4" t="inlineStr">
        <is>
          <t>fixed in cloud_function_new_deals/deploy.sh (commit b5c37ab; DRYRUN=1 prints the canonical command)</t>
        </is>
      </c>
    </row>
    <row r="7">
      <c r="A7" s="4" t="inlineStr">
        <is>
          <t>R06</t>
        </is>
      </c>
      <c r="B7" s="4" t="inlineStr">
        <is>
          <t>G01: deploy.sh piped bigquery_schema.sql with a literal your_project — step "tables" could never succeed</t>
        </is>
      </c>
      <c r="C7" s="4" t="inlineStr">
        <is>
          <t>L0</t>
        </is>
      </c>
      <c r="D7" s="4" t="inlineStr">
        <is>
          <t>A (C reuses the same file)</t>
        </is>
      </c>
      <c r="E7" s="4" t="inlineStr">
        <is>
          <t>Hard-coded project id in the SQL and in deploy.sh; no step created the dataset.</t>
        </is>
      </c>
      <c r="F7" s="4" t="inlineStr">
        <is>
          <t>bigquery_schema.sql uses ${PROJECT}.${DATASET} / ${BQ_LOCATION}; deploy.sh tables renders with envsubst (sed fallback) and dies on an unrendered placeholder; check-env refuses placeholder values from .env.example.</t>
        </is>
      </c>
      <c r="G7" s="4" t="inlineStr">
        <is>
          <t>fixed in cloud_function_new_deals/bigquery_schema.sql + deploy.sh tables()/check_env() (DRYRUN=1: "rendered, 35 lines"; sql/apply.sh DRYRUN=1 renders it too)</t>
        </is>
      </c>
    </row>
    <row r="8">
      <c r="A8" s="4" t="inlineStr">
        <is>
          <t>R07</t>
        </is>
      </c>
      <c r="B8" s="4" t="inlineStr">
        <is>
          <t>G05: ?dry_run=1 skipped every BigQuery read, so the gate rehearsed a different window (now − 7 d) with no warehouse de-dup</t>
        </is>
      </c>
      <c r="C8" s="4" t="inlineStr">
        <is>
          <t>L11</t>
        </is>
      </c>
      <c r="D8" s="4" t="inlineStr">
        <is>
          <t>A</t>
        </is>
      </c>
      <c r="E8" s="4" t="inlineStr">
        <is>
          <t>client = None if dry; known = {} without a client; fallback window.</t>
        </is>
      </c>
      <c r="F8" s="4" t="inlineStr">
        <is>
          <t>main.py always builds the client; dry guards only merge_rows, write_history, write_watermark, write_run and _deliver; payload carries dry_run: true; deploy.sh dry asserts it.</t>
        </is>
      </c>
      <c r="G8" s="4" t="inlineStr">
        <is>
          <t>fixed in main.py (tests/test_main_offline.py::test_dry_reads_but_writes_nothing)</t>
        </is>
      </c>
    </row>
    <row r="9">
      <c r="A9" s="4" t="inlineStr">
        <is>
          <t>R08</t>
        </is>
      </c>
      <c r="B9" s="4" t="inlineStr">
        <is>
          <t>G06: day1_hot_score / day1_hot_flag overwritten on re-observation or replay ("day-1" became "latest")</t>
        </is>
      </c>
      <c r="C9" s="4" t="inlineStr">
        <is>
          <t>L7</t>
        </is>
      </c>
      <c r="D9" s="4" t="inlineStr">
        <is>
          <t>A B C</t>
        </is>
      </c>
      <c r="E9" s="4" t="inlineStr">
        <is>
          <t>MERGE UPDATE list excluded only deal_id and first_seen_run.</t>
        </is>
      </c>
      <c r="F9" s="4" t="inlineStr">
        <is>
          <t>FROZEN = (deal_id, first_seen_run, day1_hot_score, day1_hot_flag) in main.py; the same set in build_workflow.py sql_templates() and in sql/new_deals_weekly.sql's UPDATE list.</t>
        </is>
      </c>
      <c r="G9" s="4" t="inlineStr">
        <is>
          <t>fixed in main.py, workflows/src/build_workflow.py, sql/new_deals_weekly.sql (tests/test_main_offline.py and tests/test_n8n_code.py assert the frozen columns are absent from UPDATE SET)</t>
        </is>
      </c>
    </row>
    <row r="10">
      <c r="A10" s="4" t="inlineStr">
        <is>
          <t>R09</t>
        </is>
      </c>
      <c r="B10" s="4" t="inlineStr">
        <is>
          <t>G08: README promised a HubSpot workflow webhook (event mode) but the service is private — HubSpot cannot mint Google OIDC tokens; a wrong entity dropped the deal with HTTP 200</t>
        </is>
      </c>
      <c r="C10" s="4" t="inlineStr">
        <is>
          <t>L3</t>
        </is>
      </c>
      <c r="D10" s="4" t="inlineStr">
        <is>
          <t>A</t>
        </is>
      </c>
      <c r="E10" s="4" t="inlineStr">
        <is>
          <t>--no-allow-unauthenticated plus a HubSpot-side auth model (signature / API key) that Cloud Run does not accept.</t>
        </is>
      </c>
      <c r="F10" s="4" t="inlineStr">
        <is>
          <t>Keep the code path (tests prove it never touches the watermark) but document event mode as "not deployed in A"; a relay would live in n8n (B) or behind a signature-validating public ingress.</t>
        </is>
      </c>
      <c r="G10" s="4" t="inlineStr">
        <is>
          <t>contested: code kept, deployment decision open (result_A open question, default "not deployed in A"); tests/test_main_offline.py::test_event_mode_never_touches_watermark</t>
        </is>
      </c>
    </row>
    <row r="11">
      <c r="A11" s="4" t="inlineStr">
        <is>
          <t>R10</t>
        </is>
      </c>
      <c r="B11" s="4" t="inlineStr">
        <is>
          <t>G09: deploy.sh was neither idempotent nor fail-loud (|| true on SA and jobs, no services enable, no run.builder, new secret version on every run)</t>
        </is>
      </c>
      <c r="C11" s="4" t="inlineStr">
        <is>
          <t>L0</t>
        </is>
      </c>
      <c r="D11" s="4" t="inlineStr">
        <is>
          <t>A</t>
        </is>
      </c>
      <c r="E11" s="4" t="inlineStr">
        <is>
          <t>One-shot script written for a first deploy.</t>
        </is>
      </c>
      <c r="F11" s="4" t="inlineStr">
        <is>
          <t>deploy.sh rewritten as a step runner: describe-then-create/update for SA, secret, service IAM and jobs; enable-apis; roles/run.builder for the compute SA; secret create || versions add only in the explicit secret step; set -euo pipefail.</t>
        </is>
      </c>
      <c r="G11" s="4" t="inlineStr">
        <is>
          <t>fixed in cloud_function_new_deals/deploy.sh (commit b5c37ab; bash -n and DRYRUN=1 pass)</t>
        </is>
      </c>
    </row>
    <row r="12">
      <c r="A12" s="4" t="inlineStr">
        <is>
          <t>R11</t>
        </is>
      </c>
      <c r="B12" s="4" t="inlineStr">
        <is>
          <t>G13: no per-run audit record — a failed or empty week left no row to query</t>
        </is>
      </c>
      <c r="C12" s="4" t="inlineStr">
        <is>
          <t>L13</t>
        </is>
      </c>
      <c r="D12" s="4" t="inlineStr">
        <is>
          <t>A B C</t>
        </is>
      </c>
      <c r="E12" s="4" t="inlineStr">
        <is>
          <t>Only report_state.updated_at and row-level last_seen_run existed.</t>
        </is>
      </c>
      <c r="F12" s="4" t="inlineStr">
        <is>
          <t>hubspot.new_deals_runs (bigquery_schema.sql) written by main.py write_run() on success and failure, by the B2 "Run log" node and by sql/new_deals_weekly.sql (incl. ABORTED on a stale sync); hubspot.new_deals_history (sql/audit_tables.sql) per run.</t>
        </is>
      </c>
      <c r="G12" s="4" t="inlineStr">
        <is>
          <t>fixed in bigquery_schema.sql, main.py, build_workflow.py, sql/new_deals_weekly.sql, sql/audit_tables.sql (offline tests assert the rows; live rows not yet)</t>
        </is>
      </c>
    </row>
    <row r="13">
      <c r="A13" s="4" t="inlineStr">
        <is>
          <t>R12</t>
        </is>
      </c>
      <c r="B13" s="4" t="inlineStr">
        <is>
          <t>G14: plain-text logging without severity or entity/run_ts fields</t>
        </is>
      </c>
      <c r="C13" s="4" t="inlineStr">
        <is>
          <t>L16</t>
        </is>
      </c>
      <c r="D13" s="4" t="inlineStr">
        <is>
          <t>A</t>
        </is>
      </c>
      <c r="E13" s="4" t="inlineStr">
        <is>
          <t>logging.basicConfig.</t>
        </is>
      </c>
      <c r="F13" s="4" t="inlineStr">
        <is>
          <t>main.py _JsonFormatter: one JSON object per line with severity, message and the extra fields (entity, run_ts, rows, written, window, duration_ms).</t>
        </is>
      </c>
      <c r="G13" s="4" t="inlineStr">
        <is>
          <t>fixed in main.py (test output shows the JSON lines)</t>
        </is>
      </c>
    </row>
    <row r="14">
      <c r="A14" s="4" t="inlineStr">
        <is>
          <t>R13</t>
        </is>
      </c>
      <c r="B14" s="4" t="inlineStr">
        <is>
          <t>G17: Scheduler jobs were created enabled before any dry run</t>
        </is>
      </c>
      <c r="C14" s="4" t="inlineStr">
        <is>
          <t>L11</t>
        </is>
      </c>
      <c r="D14" s="4" t="inlineStr">
        <is>
          <t>A B</t>
        </is>
      </c>
      <c r="E14" s="4" t="inlineStr">
        <is>
          <t>deploy.sh created the jobs and only echoed the dry-run command afterwards.</t>
        </is>
      </c>
      <c r="F14" s="4" t="inlineStr">
        <is>
          <t>deploy.sh invoker creates then pauses; deploy.sh enable resumes after deploy.sh dry; deploy/n8n/scheduler.sh does the same (create → pause; enable).</t>
        </is>
      </c>
      <c r="G14" s="4" t="inlineStr">
        <is>
          <t>fixed in deploy.sh invoker()/enable() and deploy/n8n/scheduler.sh (DRYRUN=1 shows the pause commands)</t>
        </is>
      </c>
    </row>
    <row r="15">
      <c r="A15" s="4" t="inlineStr">
        <is>
          <t>R14</t>
        </is>
      </c>
      <c r="B15" s="4" t="inlineStr">
        <is>
          <t>G07: recent_names kept one deal_id per name_key and passed an unused @e parameter; errors were hidden at WARNING</t>
        </is>
      </c>
      <c r="C15" s="4" t="inlineStr">
        <is>
          <t>L6</t>
        </is>
      </c>
      <c r="D15" s="4" t="inlineStr">
        <is>
          <t>A</t>
        </is>
      </c>
      <c r="E15" s="4" t="inlineStr">
        <is>
          <t>Dict {name_key: deal_id} made dup_known order-dependent when the twin was already in new_deals (reproduced offline); the parameter was dead code.</t>
        </is>
      </c>
      <c r="F15" s="4" t="inlineStr">
        <is>
          <t>recent_names returns key → [deal_ids], shape() excludes the deal itself, the bare except logs at ERROR with the message.</t>
        </is>
      </c>
      <c r="G15" s="4" t="inlineStr">
        <is>
          <t>contested: BigQuery's treatment of unused parameters unproven, but the fix is the same either way — fixed in main.py (tests/test_main_offline.py dup twin "999" asserted)</t>
        </is>
      </c>
    </row>
    <row r="16">
      <c r="A16" s="4" t="inlineStr">
        <is>
          <t>R15</t>
        </is>
      </c>
      <c r="B16" s="4" t="inlineStr">
        <is>
          <t>B-G01: an n8n Schedule Trigger never fires while the Cloud Run instance is scaled to zero</t>
        </is>
      </c>
      <c r="C16" s="4" t="inlineStr">
        <is>
          <t>L3</t>
        </is>
      </c>
      <c r="D16" s="4" t="inlineStr">
        <is>
          <t>B</t>
        </is>
      </c>
      <c r="E16" s="4" t="inlineStr">
        <is>
          <t>No instance polls the scheduler queue while asleep; the durable scheduler only survives restarts of a running instance.</t>
        </is>
      </c>
      <c r="F16" s="4" t="inlineStr">
        <is>
          <t>B2 is triggered by Cloud Scheduler → Webhook (deploy/n8n/scheduler.sh, same cron and time zone as A) with minScale 0; the Schedule-Trigger variant (minScale 1, ≈ +$53/month) is documented, not scaffolded.</t>
        </is>
      </c>
      <c r="G16" s="4" t="inlineStr">
        <is>
          <t>fixed in deploy/n8n/scheduler.sh + workflows/NEW_DEALS_FULL.json (Webhook node first)</t>
        </is>
      </c>
    </row>
    <row r="17">
      <c r="A17" s="4" t="inlineStr">
        <is>
          <t>R16</t>
        </is>
      </c>
      <c r="B17" s="4" t="inlineStr">
        <is>
          <t>B-G02: SQLite on Cloud Run loses workflows, credentials and the encryption key at scale-to-zero or redeploy</t>
        </is>
      </c>
      <c r="C17" s="4" t="inlineStr">
        <is>
          <t>L0</t>
        </is>
      </c>
      <c r="D17" s="4" t="inlineStr">
        <is>
          <t>B</t>
        </is>
      </c>
      <c r="E17" s="4" t="inlineStr">
        <is>
          <t>Ephemeral filesystem.</t>
        </is>
      </c>
      <c r="F17" s="4" t="inlineStr">
        <is>
          <t>deploy/n8n/cloudsql.sh (Postgres 17 db-f1-micro) + service.yaml DB_TYPE=postgresdb via /cloudsql/…:n8n-db; N8N_ENCRYPTION_KEY pinned from Secret Manager (secrets.sh, create-only).</t>
        </is>
      </c>
      <c r="G17" s="4" t="inlineStr">
        <is>
          <t>fixed in deploy/n8n/cloudsql.sh, service.yaml, secrets.sh (DRYRUN=1 renders; instance not yet created)</t>
        </is>
      </c>
    </row>
    <row r="18">
      <c r="A18" s="4" t="inlineStr">
        <is>
          <t>R17</t>
        </is>
      </c>
      <c r="B18" s="4" t="inlineStr">
        <is>
          <t>B-G03: the B1 delivery webhook was unauthenticated — anyone could e-mail a forged report</t>
        </is>
      </c>
      <c r="C18" s="4" t="inlineStr">
        <is>
          <t>L14</t>
        </is>
      </c>
      <c r="D18" s="4" t="inlineStr">
        <is>
          <t>A B</t>
        </is>
      </c>
      <c r="E18" s="4" t="inlineStr">
        <is>
          <t>Webhook node without authentication on a public n8n service; main.py posted without a header.</t>
        </is>
      </c>
      <c r="F18" s="4" t="inlineStr">
        <is>
          <t>Header Auth credential (X-Delivery-Token) on every webhook in build_workflow.py; main.py sends DELIVERY_WEBHOOK_TOKEN (Secret Manager via DELIVERY_WEBHOOK_TOKEN_SECRET); scheduler.sh sends the same header from n8n-webhook-token.</t>
        </is>
      </c>
      <c r="G18" s="4" t="inlineStr">
        <is>
          <t>fixed in workflows/NEW_DEALS_DELIVERY.json, NEW_DEALS_FULL.json, main.py _deliver(), deploy.sh deploy(), deploy/n8n/scheduler.sh</t>
        </is>
      </c>
    </row>
    <row r="19">
      <c r="A19" s="4" t="inlineStr">
        <is>
          <t>R18</t>
        </is>
      </c>
      <c r="B19" s="4" t="inlineStr">
        <is>
          <t>B-G04: B1 could silently lose a week's e-mail — watermark advanced, then one fire-and-forget POST to a cold n8n</t>
        </is>
      </c>
      <c r="C19" s="4" t="inlineStr">
        <is>
          <t>L9</t>
        </is>
      </c>
      <c r="D19" s="4" t="inlineStr">
        <is>
          <t>A B</t>
        </is>
      </c>
      <c r="E19" s="4" t="inlineStr">
        <is>
          <t>main.py logged exceptions only; a 30 s timeout against a cold start; no later window re-sends.</t>
        </is>
      </c>
      <c r="F19" s="4" t="inlineStr">
        <is>
          <t>main.py _deliver(): 3 attempts (0/5/15 s), raise_for_status, 60 s timeout; status OK_DELIVERY_FAILED + delivery_error recorded in new_deals_runs; next iteration: deliver from new_deals_last_7d.</t>
        </is>
      </c>
      <c r="G19" s="4" t="inlineStr">
        <is>
          <t>fixed in main.py (retry loop read); re-send-from-view open (result_B open question, default yes)</t>
        </is>
      </c>
    </row>
    <row r="20">
      <c r="A20" s="4" t="inlineStr">
        <is>
          <t>R19</t>
        </is>
      </c>
      <c r="B20" s="4" t="inlineStr">
        <is>
          <t>B-G05: B1 sent nothing on a zero-row week</t>
        </is>
      </c>
      <c r="C20" s="4" t="inlineStr">
        <is>
          <t>L9</t>
        </is>
      </c>
      <c r="D20" s="4" t="inlineStr">
        <is>
          <t>B</t>
        </is>
      </c>
      <c r="E20" s="4" t="inlineStr">
        <is>
          <t>Split Out on an empty rows array yields no items.</t>
        </is>
      </c>
      <c r="F20" s="4" t="inlineStr">
        <is>
          <t>IF "Any rows?" on body.row_count &gt; 0 with a text-only "Email (no rows)" branch in NEW_DEALS_DELIVERY.json.</t>
        </is>
      </c>
      <c r="G20" s="4" t="inlineStr">
        <is>
          <t>fixed in workflows/src/build_workflow.py build_delivery() (generated file --check up to date)</t>
        </is>
      </c>
    </row>
    <row r="21">
      <c r="A21" s="4" t="inlineStr">
        <is>
          <t>R20</t>
        </is>
      </c>
      <c r="B21" s="4" t="inlineStr">
        <is>
          <t>B-G06: B2 re-opened the watermark race — n8n runs production executions concurrently; a Scheduler retry after a 504 starts a second execution of the same window</t>
        </is>
      </c>
      <c r="C21" s="4" t="inlineStr">
        <is>
          <t>L15</t>
        </is>
      </c>
      <c r="D21" s="4" t="inlineStr">
        <is>
          <t>B</t>
        </is>
      </c>
      <c r="E21" s="4" t="inlineStr">
        <is>
          <t>N8N_CONCURRENCY_PRODUCTION_LIMIT default −1; Cloud Run default timeout 300 s; Scheduler default deadline 180 s.</t>
        </is>
      </c>
      <c r="F21" s="4" t="inlineStr">
        <is>
          <t>service.yaml: N8N_CONCURRENCY_PRODUCTION_LIMIT=1, maxScale 1, timeoutSeconds 900; scheduler.sh --attempt-deadline 900s; Webhook responseMode responseNode (responds when done).</t>
        </is>
      </c>
      <c r="G21" s="4" t="inlineStr">
        <is>
          <t>fixed in deploy/n8n/service.yaml, scheduler.sh, build_workflow.py (no lease row in B2 — open, see L15)</t>
        </is>
      </c>
    </row>
    <row r="22">
      <c r="A22" s="4" t="inlineStr">
        <is>
          <t>R21</t>
        </is>
      </c>
      <c r="B22" s="4" t="inlineStr">
        <is>
          <t>B-G07: respond-immediately webhook + request-based billing throttled the CPU after the response, executions crawled</t>
        </is>
      </c>
      <c r="C22" s="4" t="inlineStr">
        <is>
          <t>L15</t>
        </is>
      </c>
      <c r="D22" s="4" t="inlineStr">
        <is>
          <t>B</t>
        </is>
      </c>
      <c r="E22" s="4" t="inlineStr">
        <is>
          <t>responseMode onReceived under cpu-throttling.</t>
        </is>
      </c>
      <c r="F22" s="4" t="inlineStr">
        <is>
          <t>service.yaml run.googleapis.com/cpu-throttling: "false" (instance-based billing); B1 webhook responds lastNode; B2 responds via Respond node after the last write.</t>
        </is>
      </c>
      <c r="G22" s="4" t="inlineStr">
        <is>
          <t>fixed in deploy/n8n/service.yaml and build_workflow.py</t>
        </is>
      </c>
    </row>
    <row r="23">
      <c r="A23" s="4" t="inlineStr">
        <is>
          <t>R22</t>
        </is>
      </c>
      <c r="B23" s="4" t="inlineStr">
        <is>
          <t>B-G08: the BigQuery node's named parameters are STRING-only — TIMESTAMP/BOOL/ARRAY parameters cannot be passed</t>
        </is>
      </c>
      <c r="C23" s="4" t="inlineStr">
        <is>
          <t>L7</t>
        </is>
      </c>
      <c r="D23" s="4" t="inlineStr">
        <is>
          <t>B</t>
        </is>
      </c>
      <c r="E23" s="4" t="inlineStr">
        <is>
          <t>Node implementation sends parameterType STRING.</t>
        </is>
      </c>
      <c r="F23" s="4" t="inlineStr">
        <is>
          <t>B2 SQL is literal text generated per run: rows as one JSON string literal read with UNNEST(JSON_QUERY_ARRAY(PARSE_JSON('''…'''))) and SAFE_CAST per column; timestamps as TIMESTAMP '…' literals.</t>
        </is>
      </c>
      <c r="G23" s="4" t="inlineStr">
        <is>
          <t>fixed in workflows/src/build_workflow.py sql_templates() + node_code.template.js (tests/test_n8n_code.py asserts the source)</t>
        </is>
      </c>
    </row>
    <row r="24">
      <c r="A24" s="4" t="inlineStr">
        <is>
          <t>R23</t>
        </is>
      </c>
      <c r="B24" s="4" t="inlineStr">
        <is>
          <t>B-G09: the staging-table WRITE_TRUNCATE pattern does not port to the BigQuery node (Insert = streaming buffer blocks DML on that table)</t>
        </is>
      </c>
      <c r="C24" s="4" t="inlineStr">
        <is>
          <t>L7</t>
        </is>
      </c>
      <c r="D24" s="4" t="inlineStr">
        <is>
          <t>B</t>
        </is>
      </c>
      <c r="E24" s="4" t="inlineStr">
        <is>
          <t>tabledata.insertAll semantics.</t>
        </is>
      </c>
      <c r="F24" s="4" t="inlineStr">
        <is>
          <t>No staging table in B2: one atomic MERGE whose USING clause unpacks the JSON parameter.</t>
        </is>
      </c>
      <c r="G24" s="4" t="inlineStr">
        <is>
          <t>fixed in build_workflow.py (MERGE_SQL); streaming-buffer rule treated as current (result_B open question)</t>
        </is>
      </c>
    </row>
    <row r="25">
      <c r="A25" s="4" t="inlineStr">
        <is>
          <t>R24</t>
        </is>
      </c>
      <c r="B25" s="4" t="inlineStr">
        <is>
          <t>B-G10: no keyless identity — an SA JSON key and a HubSpot token copy end up inside n8n's database</t>
        </is>
      </c>
      <c r="C25" s="4" t="inlineStr">
        <is>
          <t>L1</t>
        </is>
      </c>
      <c r="D25" s="4" t="inlineStr">
        <is>
          <t>B</t>
        </is>
      </c>
      <c r="E25" s="4" t="inlineStr">
        <is>
          <t>n8n Google credential accepts only an SA key or OAuth2; External Secrets is Enterprise-only.</t>
        </is>
      </c>
      <c r="F25" s="4" t="inlineStr">
        <is>
          <t>Dedicated SA n8n-bq with the same two roles; key written by secrets.sh to a gitignored path and imported as the credential; rotation = re-create key + re-import by id. Fallback: metadata-token HTTP Request and raw jobs.query if org policy blocks keys.</t>
        </is>
      </c>
      <c r="G25" s="4" t="inlineStr">
        <is>
          <t>fixed in deploy/n8n/secrets.sh (key creation; .gitignore covers deploy/n8n/.secrets/); org-policy question open</t>
        </is>
      </c>
    </row>
    <row r="26">
      <c r="A26" s="4" t="inlineStr">
        <is>
          <t>R25</t>
        </is>
      </c>
      <c r="B26" s="4" t="inlineStr">
        <is>
          <t>B-G12: the HubSpot node lacks pipelines/owners operations and pages search at 100 with max 3 filter groups</t>
        </is>
      </c>
      <c r="C26" s="4" t="inlineStr">
        <is>
          <t>L4</t>
        </is>
      </c>
      <c r="D26" s="4" t="inlineStr">
        <is>
          <t>B</t>
        </is>
      </c>
      <c r="E26" s="4" t="inlineStr">
        <is>
          <t>Node coverage narrower than the API.</t>
        </is>
      </c>
      <c r="F26" s="4" t="inlineStr">
        <is>
          <t>B2 uses HTTP Request nodes with the hubspotAppToken credential for /crm/v3/objects/deals/search (limit 200, paging.next.after), /crm/v3/pipelines/deals and /crm/v3/owners — the same calls as main.py.</t>
        </is>
      </c>
      <c r="G26" s="4" t="inlineStr">
        <is>
          <t>fixed in build_workflow.py hs_request() (predefined-credential acceptance by HTTP Request open: fallback Header Auth)</t>
        </is>
      </c>
    </row>
    <row r="27">
      <c r="A27" s="4" t="inlineStr">
        <is>
          <t>R26</t>
        </is>
      </c>
      <c r="B27" s="4" t="inlineStr">
        <is>
          <t>B-G13: n8nio/n8n:latest drifts env-var names and node typeVersions between two Mondays</t>
        </is>
      </c>
      <c r="C27" s="4" t="inlineStr">
        <is>
          <t>L0</t>
        </is>
      </c>
      <c r="D27" s="4" t="inlineStr">
        <is>
          <t>B</t>
        </is>
      </c>
      <c r="E27" s="4" t="inlineStr">
        <is>
          <t>Unpinned image.</t>
        </is>
      </c>
      <c r="F27" s="4" t="inlineStr">
        <is>
          <t>N8N_IMAGE=docker.io/n8nio/n8n:2.41.7 in .env, deploy_n8n.sh refuses :latest; PINNED typeVersions in build_workflow.py checked by tests/test_n8n_code.py::test_generated_files_are_current; N8N_WEBHOOK_URL (not the deprecated WEBHOOK_URL).</t>
        </is>
      </c>
      <c r="G27" s="4" t="inlineStr">
        <is>
          <t>fixed in deploy/n8n/deploy_n8n.sh, service.yaml, build_workflow.py</t>
        </is>
      </c>
    </row>
    <row r="28">
      <c r="A28" s="4" t="inlineStr">
        <is>
          <t>R27</t>
        </is>
      </c>
      <c r="B28" s="4" t="inlineStr">
        <is>
          <t>B-G14: n8n's default /healthz health path collides with Cloud Run's handling</t>
        </is>
      </c>
      <c r="C28" s="4" t="inlineStr">
        <is>
          <t>L0</t>
        </is>
      </c>
      <c r="D28" s="4" t="inlineStr">
        <is>
          <t>B</t>
        </is>
      </c>
      <c r="E28" s="4" t="inlineStr">
        <is>
          <t>n8n docs and Google's codelab recommend moving it; Google documents no reservation.</t>
        </is>
      </c>
      <c r="F28" s="4" t="inlineStr">
        <is>
          <t>service.yaml N8N_ENDPOINT_HEALTH=health, QUEUE_HEALTH_CHECK_ACTIVE=true, startupProbe on /health; task runners kept internal.</t>
        </is>
      </c>
      <c r="G28" s="4" t="inlineStr">
        <is>
          <t>contested: no documented Cloud Run reservation, applied anyway in deploy/n8n/service.yaml</t>
        </is>
      </c>
    </row>
    <row r="29">
      <c r="A29" s="4" t="inlineStr">
        <is>
          <t>R28</t>
        </is>
      </c>
      <c r="B29" s="4" t="inlineStr">
        <is>
          <t>B-G15: workflow import needs a Cloud Run Job or the public API; credential ids must be remapped</t>
        </is>
      </c>
      <c r="C29" s="4" t="inlineStr">
        <is>
          <t>L0</t>
        </is>
      </c>
      <c r="D29" s="4" t="inlineStr">
        <is>
          <t>B</t>
        </is>
      </c>
      <c r="E29" s="4" t="inlineStr">
        <is>
          <t>No docker exec on Cloud Run; exported JSON carries REPLACE_WITH_* credential ids.</t>
        </is>
      </c>
      <c r="F29" s="4" t="inlineStr">
        <is>
          <t>deploy/n8n/import_workflows.sh: PUT by stable id / POST via /api/v1/workflows with X-N8N-API-KEY, remapping credentials from workflows/credentials.map.json (gitignored, example committed).</t>
        </is>
      </c>
      <c r="G29" s="4" t="inlineStr">
        <is>
          <t>fixed in deploy/n8n/import_workflows.sh (--dry-run mode; real import not yet)</t>
        </is>
      </c>
    </row>
    <row r="30">
      <c r="A30" s="4" t="inlineStr">
        <is>
          <t>R29</t>
        </is>
      </c>
      <c r="B30" s="4" t="inlineStr">
        <is>
          <t>B-G16: IAP on the n8n service would also challenge the Scheduler's webhook calls</t>
        </is>
      </c>
      <c r="C30" s="4" t="inlineStr">
        <is>
          <t>L14</t>
        </is>
      </c>
      <c r="D30" s="4" t="inlineStr">
        <is>
          <t>B</t>
        </is>
      </c>
      <c r="E30" s="4" t="inlineStr">
        <is>
          <t>IAP applies to all ingress.</t>
        </is>
      </c>
      <c r="F30" s="4" t="inlineStr">
        <is>
          <t>No IAP: public service + owner login/2FA + Header Auth on every webhook (deploy_n8n.sh binds allUsers run.invoker). If IAP is required, grant the Scheduler SA iap.httpsResourceAccessor (path not verified).</t>
        </is>
      </c>
      <c r="G30" s="4" t="inlineStr">
        <is>
          <t>fixed by design in deploy/n8n/deploy_n8n.sh (result_B open question, default no IAP)</t>
        </is>
      </c>
    </row>
    <row r="31">
      <c r="A31" s="4" t="inlineStr">
        <is>
          <t>R30</t>
        </is>
      </c>
      <c r="B31" s="4" t="inlineStr">
        <is>
          <t>B-G17: n8n execution history is pruned after ~2 weeks — too short to be the audit trail</t>
        </is>
      </c>
      <c r="C31" s="4" t="inlineStr">
        <is>
          <t>L13</t>
        </is>
      </c>
      <c r="D31" s="4" t="inlineStr">
        <is>
          <t>B</t>
        </is>
      </c>
      <c r="E31" s="4" t="inlineStr">
        <is>
          <t>EXECUTIONS_DATA_MAX_AGE default 336 h.</t>
        </is>
      </c>
      <c r="F31" s="4" t="inlineStr">
        <is>
          <t>BigQuery new_deals_runs / new_deals_history stay the record (B2 writes them); service.yaml EXECUTIONS_DATA_MAX_AGE=2160 for 90 days of per-node evidence.</t>
        </is>
      </c>
      <c r="G31" s="4" t="inlineStr">
        <is>
          <t>fixed in deploy/n8n/service.yaml + build_workflow.py</t>
        </is>
      </c>
    </row>
    <row r="32">
      <c r="A32" s="4" t="inlineStr">
        <is>
          <t>R31</t>
        </is>
      </c>
      <c r="B32" s="4" t="inlineStr">
        <is>
          <t>B-G18: shared-core Cloud SQL (db-f1-micro) has no SLA</t>
        </is>
      </c>
      <c r="C32" s="4" t="inlineStr">
        <is>
          <t>L17</t>
        </is>
      </c>
      <c r="D32" s="4" t="inlineStr">
        <is>
          <t>B</t>
        </is>
      </c>
      <c r="E32" s="4" t="inlineStr">
        <is>
          <t>Tier excluded from the Cloud SQL SLA; single-zone.</t>
        </is>
      </c>
      <c r="F32" s="4" t="inlineStr">
        <is>
          <t>Accepted for a weekly internal job: BigQuery remains the truth, Scheduler retries a missed run; documented in cloudsql.sh header.</t>
        </is>
      </c>
      <c r="G32" s="4" t="inlineStr">
        <is>
          <t>fixed by documentation in deploy/n8n/cloudsql.sh (decision, no code)</t>
        </is>
      </c>
    </row>
    <row r="33">
      <c r="A33" s="4" t="inlineStr">
        <is>
          <t>R32</t>
        </is>
      </c>
      <c r="B33" s="4" t="inlineStr">
        <is>
          <t>C-G2: no ingestion route in C is near-real-time; the scheduled query could MERGE a stale or last-week snapshot</t>
        </is>
      </c>
      <c r="C33" s="4" t="inlineStr">
        <is>
          <t>L4</t>
        </is>
      </c>
      <c r="D33" s="4" t="inlineStr">
        <is>
          <t>C</t>
        </is>
      </c>
      <c r="E33" s="4" t="inlineStr">
        <is>
          <t>DTS is a scheduled full refresh; HubSpot's native sync is ≥ 6 h.</t>
        </is>
      </c>
      <c r="F33" s="4" t="inlineStr">
        <is>
          <t>Chain with slack (transfer 02:00 UTC, queries Mon 03:53 / 04:23 UTC), lookback_days = 14 ≥ 2× cadence, freshness guard in sql/new_deals_weekly.sql (RAISE + ABORTED run row when MAX(lastmodified) &lt; run_ts − 36 h); accept one-cycle lag or keep A's extractor.</t>
        </is>
      </c>
      <c r="G33" s="4" t="inlineStr">
        <is>
          <t>fixed in sql/new_deals_weekly.sql, sql/sync_transfer.sh, sql/scheduled_query.sh (guard not yet exercised — first authenticated run)</t>
        </is>
      </c>
    </row>
    <row r="34">
      <c r="A34" s="4" t="inlineStr">
        <is>
          <t>R33</t>
        </is>
      </c>
      <c r="B34" s="4" t="inlineStr">
        <is>
          <t>C-G3: scheduled queries run on UTC only; A's Scheduler jobs use Europe/Zurich — one-hour drift across DST</t>
        </is>
      </c>
      <c r="C34" s="4" t="inlineStr">
        <is>
          <t>L3</t>
        </is>
      </c>
      <c r="D34" s="4" t="inlineStr">
        <is>
          <t>C</t>
        </is>
      </c>
      <c r="E34" s="4" t="inlineStr">
        <is>
          <t>No IANA time-zone option on scheduled queries.</t>
        </is>
      </c>
      <c r="F34" s="4" t="inlineStr">
        <is>
          <t>SCHEDULE_UTC_SEALSQ="every monday 03:53" / SCHEDULE_UTC_ICALPS="every monday 04:23" (per entity, off the hour — pass 3 phase 2 review) chosen so both are always before the 05:30-Zurich write-back and A's 07:00; alternative: drive the SQL from the Zurich-scheduled job.</t>
        </is>
      </c>
      <c r="G34" s="4" t="inlineStr">
        <is>
          <t>fixed in sql/scheduled_query.sh (slack by construction)</t>
        </is>
      </c>
    </row>
    <row r="35">
      <c r="A35" s="4" t="inlineStr">
        <is>
          <t>R34</t>
        </is>
      </c>
      <c r="B35" s="4" t="inlineStr">
        <is>
          <t>C-G4: sharing A's report_state key would corrupt A's watermark while both are deployed</t>
        </is>
      </c>
      <c r="C35" s="4" t="inlineStr">
        <is>
          <t>L8</t>
        </is>
      </c>
      <c r="D35" s="4" t="inlineStr">
        <is>
          <t>A C</t>
        </is>
      </c>
      <c r="E35" s="4" t="inlineStr">
        <is>
          <t>A reads report_state.watermark as its next window start.</t>
        </is>
      </c>
      <c r="F35" s="4" t="inlineStr">
        <is>
          <t>sql/new_deals_weekly.sql writes report_id = CONCAT('NEW_DEALS_', entity, '_C'); rename only after A's jobs are paused.</t>
        </is>
      </c>
      <c r="G35" s="4" t="inlineStr">
        <is>
          <t>fixed in sql/new_deals_weekly.sql</t>
        </is>
      </c>
    </row>
    <row r="36">
      <c r="A36" s="4" t="inlineStr">
        <is>
          <t>R35</t>
        </is>
      </c>
      <c r="B36" s="4" t="inlineStr">
        <is>
          <t>C-G10: write-back is blocked by scopes — the private app is read-only and no hot-score property exists in portal 9201667</t>
        </is>
      </c>
      <c r="C36" s="4" t="inlineStr">
        <is>
          <t>L10</t>
        </is>
      </c>
      <c r="D36" s="4" t="inlineStr">
        <is>
          <t>C</t>
        </is>
      </c>
      <c r="E36" s="4" t="inlineStr">
        <is>
          <t>crm.objects.deals.write and (once) crm.schemas.deals.write are missing.</t>
        </is>
      </c>
      <c r="F36" s="4" t="inlineStr">
        <is>
          <t>Create a second private app "new-deals-write" with crm.objects.deals.write only → Secret Manager hubspot-token-write (pinned, deploy_job.sh); run writeback/bootstrap_property.sh once with an operator token holding crm.schemas.deals.write (not stored).</t>
        </is>
      </c>
      <c r="G36" s="4" t="inlineStr">
        <is>
          <t>open — operator action in HubSpot; scripts ready (writeback/bootstrap_property.sh, deploy_job.sh); index.mjs throws a clear 403 message otherwise</t>
        </is>
      </c>
    </row>
    <row r="37">
      <c r="A37" s="4" t="inlineStr">
        <is>
          <t>R36</t>
        </is>
      </c>
      <c r="B37" s="4" t="inlineStr">
        <is>
          <t>C-G11: synced table names and column types are connector-specific and unknown until the first transfer run; a missing property column fails the view</t>
        </is>
      </c>
      <c r="C37" s="4" t="inlineStr">
        <is>
          <t>L4</t>
        </is>
      </c>
      <c r="D37" s="4" t="inlineStr">
        <is>
          <t>C</t>
        </is>
      </c>
      <c r="E37" s="4" t="inlineStr">
        <is>
          <t>DTS creates native typed tables per asset; HubSpot's native sync creates external tables in hubspot_data_set_&lt;hubId&gt;.</t>
        </is>
      </c>
      <c r="F37" s="4" t="inlineStr">
        <is>
          <t>All physical names live in sql/deals_synced_v1.sql (SAFE_CAST) and .env SYNC_DATASET / SYNC_DEALS_TABLE / SYNC_OWNERS_TABLE; first-run checklist: sql/sync_transfer.sh → bq ls / bq show --schema → fill .env → DRYRUN=1 sql/apply.sh → sql/apply.sh.</t>
        </is>
      </c>
      <c r="G37" s="4" t="inlineStr">
        <is>
          <t>open — adapter in place (sql/deals_synced_v1.sql), names unknown until the first authenticated transfer run</t>
        </is>
      </c>
    </row>
    <row r="38">
      <c r="A38" s="4" t="inlineStr">
        <is>
          <t>R37</t>
        </is>
      </c>
      <c r="B38" s="4" t="inlineStr">
        <is>
          <t>C-G6: NULL scores for SEALCOIN / Quantum &amp; AI pipelines would clear the HubSpot property if PATCHed as ""</t>
        </is>
      </c>
      <c r="C38" s="4" t="inlineStr">
        <is>
          <t>L10</t>
        </is>
      </c>
      <c r="D38" s="4" t="inlineStr">
        <is>
          <t>C</t>
        </is>
      </c>
      <c r="E38" s="4" t="inlineStr">
        <is>
          <t>hot_score() returns (None, None) outside pipelines 12096408 / 13772279 although both are SEALSQ pipelines.</t>
        </is>
      </c>
      <c r="F38" s="4" t="inlineStr">
        <is>
          <t>hot_deals_v1_writeback filters hot_score_v1 IS NOT NULL (and only the two scored pipelines reach hot_deals_v1); index.mjs sends String(score) only for rows the view returned; vectors not_scored_pipeline_* keep the NULL contract in all three ports.</t>
        </is>
      </c>
      <c r="G38" s="4" t="inlineStr">
        <is>
          <t>fixed in sql/hot_deals_v1.sql + tests/hot_score_vectors.json (not_scored_pipeline_wisekey / _icalps)</t>
        </is>
      </c>
    </row>
    <row r="39">
      <c r="A39" s="4" t="inlineStr">
        <is>
          <t>R38</t>
        </is>
      </c>
      <c r="B39" s="4" t="inlineStr">
        <is>
          <t>C-G7: the 100-input cap is not on the v3 batch-update reference; 207 partial success must be parsed, not treated as all-written</t>
        </is>
      </c>
      <c r="C39" s="4" t="inlineStr">
        <is>
          <t>L10</t>
        </is>
      </c>
      <c r="D39" s="4" t="inlineStr">
        <is>
          <t>C</t>
        </is>
      </c>
      <c r="E39" s="4" t="inlineStr">
        <is>
          <t>Endpoint returns 207 with errors[] naming failed ids.</t>
        </is>
      </c>
      <c r="F39" s="4" t="inlineStr">
        <is>
          <t>index.mjs slices by 100, marks ids in errors[].context.ids/objectIds as ERROR, logs per deal, exits 1 so Cloud Run retries only the remainder.</t>
        </is>
      </c>
      <c r="G39" s="4" t="inlineStr">
        <is>
          <t>contested: cap sourced from current leads guide + legacy pages; implemented in writeback/index.mjs (node --check OK; not yet exercised)</t>
        </is>
      </c>
    </row>
    <row r="40">
      <c r="A40" s="4" t="inlineStr">
        <is>
          <t>R39</t>
        </is>
      </c>
      <c r="B40" s="4" t="inlineStr">
        <is>
          <t>C-G8: :latest secret semantics differ for a Cloud Run job (re-resolved per execution) — pin anyway</t>
        </is>
      </c>
      <c r="C40" s="4" t="inlineStr">
        <is>
          <t>L2</t>
        </is>
      </c>
      <c r="D40" s="4" t="inlineStr">
        <is>
          <t>C</t>
        </is>
      </c>
      <c r="E40" s="4" t="inlineStr">
        <is>
          <t>Env-var secrets resolve when each execution's instance starts.</t>
        </is>
      </c>
      <c r="F40" s="4" t="inlineStr">
        <is>
          <t>deploy_job.sh requires HUBSPOT_WRITE_TOKEN_VERSION and refuses an empty value; rotation = gcloud run jobs update --update-secrets.</t>
        </is>
      </c>
      <c r="G40" s="4" t="inlineStr">
        <is>
          <t>fixed in writeback/deploy_job.sh (DRYRUN=1 run with a version)</t>
        </is>
      </c>
    </row>
    <row r="41">
      <c r="A41" s="4" t="inlineStr">
        <is>
          <t>R40</t>
        </is>
      </c>
      <c r="B41" s="4" t="inlineStr">
        <is>
          <t>C-G9: Scheduler retries do not retry a failed job execution, and executions of one job may overlap</t>
        </is>
      </c>
      <c r="C41" s="4" t="inlineStr">
        <is>
          <t>L15</t>
        </is>
      </c>
      <c r="D41" s="4" t="inlineStr">
        <is>
          <t>C</t>
        </is>
      </c>
      <c r="E41" s="4" t="inlineStr">
        <is>
          <t>jobs.run returns an Operation immediately; no per-job max-concurrency setting.</t>
        </is>
      </c>
      <c r="F41" s="4" t="inlineStr">
        <is>
          <t>Rely on the idempotent PATCH + writeback_log delta view (overlap harmless); --max-retries 2 --task-timeout 900s on the job; optional weekly lease row in writeback_log.</t>
        </is>
      </c>
      <c r="G41" s="4" t="inlineStr">
        <is>
          <t>fixed in writeback/deploy_job.sh + sql/hot_deals_v1.sql (hot_deals_v1_writeback); lease row optional, open</t>
        </is>
      </c>
    </row>
    <row r="42">
      <c r="A42" s="4" t="inlineStr">
        <is>
          <t>R41</t>
        </is>
      </c>
      <c r="B42" s="4" t="inlineStr">
        <is>
          <t>C-G5: duplicate flags diverge between A and C by construction (C sees twins A never reported)</t>
        </is>
      </c>
      <c r="C42" s="4" t="inlineStr">
        <is>
          <t>L6</t>
        </is>
      </c>
      <c r="D42" s="4" t="inlineStr">
        <is>
          <t>A C</t>
        </is>
      </c>
      <c r="E42" s="4" t="inlineStr">
        <is>
          <t>A''s recent_names read new_deals (90 days); C self-joined the synced table (both before pass 3).</t>
        </is>
      </c>
      <c r="F42" s="4" t="inlineStr">
        <is>
          <t>Documented as Conditional parity (C stricter); for strict parity restrict C's recent CTE to deal_id IN (SELECT deal_id FROM new_deals).</t>
        </is>
      </c>
      <c r="G42" s="4" t="inlineStr">
        <is>
          <t>closed in pass 3 phase 3 (D3) — one implementation over the root, sql/deals_landed_v1.sql; the equality check now compares A and C on the same rule</t>
        </is>
      </c>
    </row>
    <row r="43">
      <c r="A43" s="4" t="inlineStr">
        <is>
          <t>R42</t>
        </is>
      </c>
      <c r="B43" s="4" t="inlineStr">
        <is>
          <t>C-G13: "table per run" cannot be CREATE TABLE inside a BigQuery transaction</t>
        </is>
      </c>
      <c r="C43" s="4" t="inlineStr">
        <is>
          <t>L13</t>
        </is>
      </c>
      <c r="D43" s="4" t="inlineStr">
        <is>
          <t>C</t>
        </is>
      </c>
      <c r="E43" s="4" t="inlineStr">
        <is>
          <t>Permanent DDL is barred inside multi-statement transactions.</t>
        </is>
      </c>
      <c r="F43" s="4" t="inlineStr">
        <is>
          <t>Partition slices instead: new_deals_runs / new_deals_history PARTITION BY DATE(run_ts); the script DELETEs and re-INSERTs its slice inside the transaction.</t>
        </is>
      </c>
      <c r="G43" s="4" t="inlineStr">
        <is>
          <t>contested framing, implemented in sql/new_deals_weekly.sql + sql/audit_tables.sql + bigquery_schema.sql</t>
        </is>
      </c>
    </row>
    <row r="44">
      <c r="A44" s="4" t="inlineStr">
        <is>
          <t>R43</t>
        </is>
      </c>
      <c r="B44" s="4" t="inlineStr">
        <is>
          <t>C-G1 / C-G12: the user's matrix says "BigQuery sync cannot write to HubSpot" and "Breeze scheduled prompts (beta)" — both need qualification</t>
        </is>
      </c>
      <c r="C44" s="4" t="inlineStr">
        <is>
          <t>L10</t>
        </is>
      </c>
      <c r="D44" s="4" t="inlineStr">
        <is>
          <t>C</t>
        </is>
      </c>
      <c r="E44" s="4" t="inlineStr">
        <is>
          <t>HubSpot's native BigQuery integration (beta) syncs BigQuery → HubSpot every 15 min… but only on Data Hub Enterprise; HubSQL cannot compute (no arithmetic/CASE/window); Breeze scheduled prompts exist but are unstructured and rate-limited.</t>
        </is>
      </c>
      <c r="F44" s="4" t="inlineStr">
        <is>
          <t>Keep the Node job as the implemented L10; record the Enterprise reverse-sync as a plan-conditional alternative; materialise what Breeze must show as deal properties (hot_score_v1, hot_flag_v1); use HubSpot workflows on hot_flag_v1 for alerts.</t>
        </is>
      </c>
      <c r="G44" s="4" t="inlineStr">
        <is>
          <t>contested: plan of portal 9201667 unconfirmed (result_C open question, default: not Enterprise)</t>
        </is>
      </c>
    </row>
    <row r="45">
      <c r="A45" s="4" t="inlineStr">
        <is>
          <t>R44</t>
        </is>
      </c>
      <c r="B45" s="4" t="inlineStr">
        <is>
          <t>Synthesis finding: main.py write_history() and B2's "History slice" node write hubspot.new_deals_history, but deploy.sh tables renders only bigquery_schema.sql, which does not create that table — the first live run of A or B2 fails after the MERGE (watermark not advanced, so every retry fails the same way)</t>
        </is>
      </c>
      <c r="C45" s="4" t="inlineStr">
        <is>
          <t>L13</t>
        </is>
      </c>
      <c r="D45" s="4" t="inlineStr">
        <is>
          <t>A B</t>
        </is>
      </c>
      <c r="E45" s="4" t="inlineStr">
        <is>
          <t>new_deals_history DDL lives in sql/audit_tables.sql (scenario C's apply.sh), not in bigquery_schema.sql.</t>
        </is>
      </c>
      <c r="F45" s="4" t="inlineStr">
        <is>
          <t>Before the first live run: run sql/apply.sh (or bq query the rendered sql/audit_tables.sql); proposed code change: deploy.sh tables also renders sql/audit_tables.sql, or move new_deals_history into bigquery_schema.sql (awaiting consent — docs-only pass).</t>
        </is>
      </c>
      <c r="G45" s="4" t="inlineStr">
        <is>
          <t>closed — new_deals_history lives in bigquery_schema.sql and deploy.sh tables creates it (write_history itself retired in pass 3 phase 3)</t>
        </is>
      </c>
    </row>
    <row r="46">
      <c r="A46" s="4" t="inlineStr">
        <is>
          <t>R45</t>
        </is>
      </c>
      <c r="B46" s="4" t="inlineStr">
        <is>
          <t>Synthesis finding: no script enables bigquerydatatransfer.googleapis.com, which scheduled queries and the DTS HubSpot connector need</t>
        </is>
      </c>
      <c r="C46" s="4" t="inlineStr">
        <is>
          <t>L0</t>
        </is>
      </c>
      <c r="D46" s="4" t="inlineStr">
        <is>
          <t>C</t>
        </is>
      </c>
      <c r="E46" s="4" t="inlineStr">
        <is>
          <t>deploy.sh enable-apis covers A's APIs only; sql/*.sh assume the Data Transfer API is on.</t>
        </is>
      </c>
      <c r="F46" s="4" t="inlineStr">
        <is>
          <t>gcloud services enable bigquerydatatransfer.googleapis.com --project $PROJECT before sql/sync_transfer.sh / sql/scheduled_query.sh (proposed addition to sql/apply.sh header or a C enable step).</t>
        </is>
      </c>
      <c r="G46" s="4" t="inlineStr">
        <is>
          <t>open — step 2 C column says n/a; one-line operator command</t>
        </is>
      </c>
    </row>
    <row r="47">
      <c r="A47" s="4" t="inlineStr">
        <is>
          <t>R46</t>
        </is>
      </c>
      <c r="B47" s="4" t="inlineStr">
        <is>
          <t>Synthesis finding: B2 does not acquire the report_state.lock_until lease (it only clears it in the watermark MERGE), so A's 409 guard does not exist in B2</t>
        </is>
      </c>
      <c r="C47" s="4" t="inlineStr">
        <is>
          <t>L15</t>
        </is>
      </c>
      <c r="D47" s="4" t="inlineStr">
        <is>
          <t>B</t>
        </is>
      </c>
      <c r="E47" s="4" t="inlineStr">
        <is>
          <t>The single-writer guarantee in B2 is the n8n process limit, not the data model.</t>
        </is>
      </c>
      <c r="F47" s="4" t="inlineStr">
        <is>
          <t>Keep A and B2 from running live on the same report_id concurrently (step 10 note); optional: add a BigQuery node running A's atomic lease UPDATE before "HubSpot search" and an IF on affected rows.</t>
        </is>
      </c>
      <c r="G47" s="4" t="inlineStr">
        <is>
          <t>closed by retirement — B2 and build_workflow.py sql_templates() were removed in pass 3 phase 3 (D6)</t>
        </is>
      </c>
    </row>
    <row r="48">
      <c r="A48" s="4" t="inlineStr">
        <is>
          <t>R47</t>
        </is>
      </c>
      <c r="B48" s="4" t="inlineStr">
        <is>
          <t>Pre-run review (2026-10-16): deploy.sh secret_version() read the Secret Manager version with --format value(name), i.e. projects/N/secrets/hubspot-token/versions/V; `deploy` would have passed that path to --set-secrets and Cloud Run rejects it</t>
        </is>
      </c>
      <c r="C48" s="4" t="inlineStr">
        <is>
          <t>L2</t>
        </is>
      </c>
      <c r="D48" s="4" t="inlineStr">
        <is>
          <t>A</t>
        </is>
      </c>
      <c r="E48" s="4" t="inlineStr">
        <is>
          <t>gcloud's own table uses name.basename(); value(name) is the raw resource name.</t>
        </is>
      </c>
      <c r="F48" s="4" t="inlineStr">
        <is>
          <t>deploy.sh lines 86 and 91 use --format 'value(name.basename())' (the version number); the `secret` hint prints the number.</t>
        </is>
      </c>
      <c r="G48" s="4" t="inlineStr">
        <is>
          <t>fixed in 574e954 — DRYRUN=1 deploy.sh deploy prints value(name.basename()); live deploy not yet — first authenticated run</t>
        </is>
      </c>
    </row>
    <row r="49">
      <c r="A49" s="4" t="inlineStr">
        <is>
          <t>R48</t>
        </is>
      </c>
      <c r="B49" s="4" t="inlineStr">
        <is>
          <t>Pre-run review: from a Vertex AI Workbench instance or any VM whose gcloud account is a service account, `gcloud auth print-identity-token` carries gcloud's client id as audience; Cloud Run requires the service URL for service-account tokens, so `dry`/`run` would fail with 401/403 on that surface</t>
        </is>
      </c>
      <c r="C49" s="4" t="inlineStr">
        <is>
          <t>L14</t>
        </is>
      </c>
      <c r="D49" s="4" t="inlineStr">
        <is>
          <t>A</t>
        </is>
      </c>
      <c r="E49" s="4" t="inlineStr">
        <is>
          <t>deploy.sh invoke() minted the token without --audiences; only a person's token is accepted as is.</t>
        </is>
      </c>
      <c r="F49" s="4" t="inlineStr">
        <is>
          <t>invoke() reads the active account; a *.gserviceaccount.com account gets --audiences "$u"; the notebook's cell 4.6 chooses by ADC type (user → gcloud token, service account → fetch_id_token(audience = URL)).</t>
        </is>
      </c>
      <c r="G49" s="4" t="inlineStr">
        <is>
          <t>fixed in 574e954 / e88c27a (code read; DRYRUN=1 prints the account lookup); live call not yet — first authenticated run</t>
        </is>
      </c>
    </row>
    <row r="50">
      <c r="A50" s="4" t="inlineStr">
        <is>
          <t>R49</t>
        </is>
      </c>
      <c r="B50" s="4" t="inlineStr">
        <is>
          <t>Pre-run review: `deploy.sh enable` after a successful enable exited non-zero — the Scheduler API refuses to resume a job that is not PAUSED; same for pause; contradicted the header's "re-running a step is safe"</t>
        </is>
      </c>
      <c r="C50" s="4" t="inlineStr">
        <is>
          <t>L3</t>
        </is>
      </c>
      <c r="D50" s="4" t="inlineStr">
        <is>
          <t>A</t>
        </is>
      </c>
      <c r="E50" s="4" t="inlineStr">
        <is>
          <t>resume/pause were unconditional.</t>
        </is>
      </c>
      <c r="F50" s="4" t="inlineStr">
        <is>
          <t>enable() resumes only jobs in state PAUSED, pause() only ENABLED ones (job_state helper); the header names the steps that are not no-ops (secret adds a version, run moves the watermark).</t>
        </is>
      </c>
      <c r="G50" s="4" t="inlineStr">
        <is>
          <t>fixed in 574e954 (DRYRUN=1 enable/pause rehearsed); live not yet — first authenticated run</t>
        </is>
      </c>
    </row>
    <row r="51">
      <c r="A51" s="4" t="inlineStr">
        <is>
          <t>R50</t>
        </is>
      </c>
      <c r="B51" s="4" t="inlineStr">
        <is>
          <t>Pre-run review: `run` could not tell success from the function's 409 "lease held" or any JSON error body — curl without -f printed {"report_id": …} and exited 0 while nothing was written; `dry` would die with a JSONDecodeError on a 403 instead of the status</t>
        </is>
      </c>
      <c r="C51" s="4" t="inlineStr">
        <is>
          <t>L11</t>
        </is>
      </c>
      <c r="D51" s="4" t="inlineStr">
        <is>
          <t>A</t>
        </is>
      </c>
      <c r="E51" s="4" t="inlineStr">
        <is>
          <t>invoke() used curl -sS; live() printed whatever keys were present.</t>
        </is>
      </c>
      <c r="F51" s="4" t="inlineStr">
        <is>
          <t>curl -sSf (HTTP 4xx/5xx fail the step with the status); live() asserts no "error" key and a rows_written key; the runbook lists the status → cause table (403 caller lacks run.invoker, 500 + HubSpot 401 in logs, 500 + Not found table, 409 lease).</t>
        </is>
      </c>
      <c r="G51" s="4" t="inlineStr">
        <is>
          <t>fixed in 574e954 (bash -n, DRYRUN=1 dry/run); live not yet — first authenticated run</t>
        </is>
      </c>
    </row>
    <row r="52">
      <c r="A52" s="4" t="inlineStr">
        <is>
          <t>R51</t>
        </is>
      </c>
      <c r="B52" s="4" t="inlineStr">
        <is>
          <t>Pre-run review: tests/test_hot_score.py emit_sql() wrote bare NULLs; a struct column that is NULL in every row of the UNNEST is typed INT64, so SAFE_CAST(… AS TIMESTAMP) and the STRING UDF parameters fail — impossible on the 15 golden vectors, likely on live deals (notes_last_updated, revenue_state often all NULL)</t>
        </is>
      </c>
      <c r="C52" s="4" t="inlineStr">
        <is>
          <t>L5</t>
        </is>
      </c>
      <c r="D52" s="4" t="inlineStr">
        <is>
          <t>A C</t>
        </is>
      </c>
      <c r="E52" s="4" t="inlineStr">
        <is>
          <t>BigQuery supertype rule for NULL-only literals; sql_literal() also left backslashes unescaped.</t>
        </is>
      </c>
      <c r="F52" s="4" t="inlineStr">
        <is>
          <t>sql_literal(v, typ) emits CAST(NULL AS STRING|FLOAT64|BOOL) and escapes backslashes; tests/hot_score_vectors.sql regenerated; the notebook's live-parity cell reuses emit_sql unchanged.</t>
        </is>
      </c>
      <c r="G52" s="4" t="inlineStr">
        <is>
          <t>fixed in 574e954 (python3 tests/test_hot_score.py: constants OK · python vectors OK · JS port OK); the SQL itself not yet executed — first authenticated run</t>
        </is>
      </c>
    </row>
    <row r="53">
      <c r="A53" s="4" t="inlineStr">
        <is>
          <t>R52</t>
        </is>
      </c>
      <c r="B53" s="4" t="inlineStr">
        <is>
          <t>Operator runbook draft: "BQ_LOCATION stays EU, fine for europe-west6" (the BigQuery location is independent of the Cloud Run region — it must equal the existing dataset's location), a second `run SEALSQ` as the idempotency check (each run moves the watermark, so it opens the next window), a 403 on `dry` attributed to the `invoker` step (dry uses the operator's identity), portal 49610528 vs 9201667</t>
        </is>
      </c>
      <c r="C53" s="4" t="inlineStr">
        <is>
          <t>L11</t>
        </is>
      </c>
      <c r="D53" s="4" t="inlineStr">
        <is>
          <t>A</t>
        </is>
      </c>
      <c r="E53" s="4" t="inlineStr">
        <is>
          <t>The runbook was drafted from the sequence without the state model; the portal id came from an earlier draft.</t>
        </is>
      </c>
      <c r="F53" s="4" t="inlineStr">
        <is>
          <t>docs/RUNBOOK_CLOUD_SHELL.md — Phase 2 checks `bq show` location == BQ_LOCATION (mrload was created in EU by mir-load run_pass1.sh); Phase 7 uses `replay SEALSQ "$FROM"` with FROM = window.query_start of the first run; 403 → the caller''s run.invoker; portal 9201667 confirmed as the hub id of the connected HubSpot account.</t>
        </is>
      </c>
      <c r="G53" s="4" t="inlineStr">
        <is>
          <t>this commit (docs); PASS1_SEQUENCE.md corrected the same way in e88c27a</t>
        </is>
      </c>
    </row>
    <row r="54">
      <c r="A54" s="4" t="inlineStr">
        <is>
          <t>R53</t>
        </is>
      </c>
      <c r="B54" s="4" t="inlineStr">
        <is>
          <t>Operator runbook draft: Phase 3 ran python3 tests/*.py in Cloud Shell, whose Python has no functions-framework / google-cloud-bigquery / flask, so the offline rehearsal would have failed on import</t>
        </is>
      </c>
      <c r="C54" s="4" t="inlineStr">
        <is>
          <t>L0</t>
        </is>
      </c>
      <c r="D54" s="4" t="inlineStr">
        <is>
          <t>A</t>
        </is>
      </c>
      <c r="E54" s="4" t="inlineStr">
        <is>
          <t>main.py imports functions_framework at import time; the tests import main.</t>
        </is>
      </c>
      <c r="F54" s="4" t="inlineStr">
        <is>
          <t>a virtualenv in $HOME (persists in Cloud Shell): python3 -m venv ~/.venvs/cloudbq &amp;&amp; pip install -r cloud_function_new_deals/requirements.txt pyyaml pytest; the Workbench notebook installs the same into its kernel.</t>
        </is>
      </c>
      <c r="G54" s="4" t="inlineStr">
        <is>
          <t>this commit (docs); the CI job installs the same requirements before pytest (green)</t>
        </is>
      </c>
    </row>
    <row r="55">
      <c r="A55" s="4" t="inlineStr">
        <is>
          <t>R54</t>
        </is>
      </c>
      <c r="B55" s="4" t="inlineStr">
        <is>
          <t>Pass 3 finding: both lanes reconstruct their OUTPUTS per run (new_deals_runs, new_deals_history) but never persist their INPUTS — the HubSpot search result is consumed by shape() and discarded, six of the eleven hot-score inputs are columns of no table, lane C computes a TEMP table from a view over a full-refresh sync — so day1_hot_score, duplicate_of, the label strings and the delivered report of a past run cannot be recomputed from BigQuery</t>
        </is>
      </c>
      <c r="C55" s="4" t="inlineStr">
        <is>
          <t>L4</t>
        </is>
      </c>
      <c r="D55" s="4" t="inlineStr">
        <is>
          <t>A C</t>
        </is>
      </c>
      <c r="E55" s="4" t="inlineStr">
        <is>
          <t>No run_ts-keyed landing of what each run computed from; an orchestrator would sequence nodes without persisting the missing one.</t>
        </is>
      </c>
      <c r="F55" s="4" t="inlineStr">
        <is>
          <t>Phase 1 (this commit, docs/PASS3_RAW_ROOT.md): deals_raw (properties JSON as delivered, in_scope, createdate, pipeline_id) and labels_raw keyed by (run_ts, entity, orchestrator) like new_deals_history; lane A lands the whole search before shape() (non-fatal, named in new_deals_runs.data_gaps), lane C lands its 90-day set from the sync table before its transaction (sql/land_raw.sql); sql/backfill_raw.sh fills the duplicate horizon at cut-over. Phase 2: one SQL implementation over the root (adapter view, table function, procedure). Phase 3: the function calls the procedure; shape()/hot_score() become test oracles; n8n B2 retired.</t>
        </is>
      </c>
      <c r="G55" s="4" t="inlineStr">
        <is>
          <t>tests/test_main_offline.py (11 root tests: order, slice replacement, JSON dict, dry, failure named, clean gaps as an ArrayQueryParameter, event with the delete scoped to its deal, strict replacement across two landings, labels-only failure, time-boxed jobs, runs row kept on an un-migrated table); rendered scripts (DRYRUN=1 sql/scheduled_query.sh, DRYRUN=1 sql/backfill_raw.sh); review follow-ups folded in (deploy.sh deploy applies tables first, LAND_TIMEOUT_S, lane-C landing non-fatal, IFNULL in_scope, stringify_wide_numbers, splice asserted); acceptance SQL in docs/PASS3_RAW_ROOT.md after the first live 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0" customWidth="1" min="3" max="3"/>
    <col width="60" customWidth="1" min="4" max="4"/>
    <col width="44" customWidth="1" min="5" max="5"/>
  </cols>
  <sheetData>
    <row r="1">
      <c r="A1" s="3" t="inlineStr">
        <is>
          <t>Stage</t>
        </is>
      </c>
      <c r="B1" s="3" t="inlineStr">
        <is>
          <t>What to compare</t>
        </is>
      </c>
      <c r="C1" s="3" t="inlineStr">
        <is>
          <t>A · Cloud Run function (deploy.sh → gcloud run deploy --function, Scheduler OIDC, Secret Manager, BigQuery MERGE) — operator surfaces: Cloud Shell runbook docs/RUNBOOK_CLOUD_SHELL.md and the Vertex AI Workbench notebook notebooks/cloudbq_deploy_and_witness.ipynb (same deploy.sh) — cell</t>
        </is>
      </c>
      <c r="D1" s="3" t="inlineStr">
        <is>
          <t>B · n8n on Cloud Run (B1 delivery tail NEW_DEALS_DELIVERY.json; B2 — n8n owning the pipeline, NEW_DEALS_FULL.json — retired in pass 3 phase 3, decision D6; its cells record the design as built) / C · BigQuery compute (synced deals, hot_score_v1 UDF, scheduled script) + Node 22 write-back job; Breeze reads, Claude iterates / R · The raw root + the one SQL implementation (deals_raw / labels_raw → deals_landed_v1 → new_deals_batch_rows → new_deals_batch), CALLed by A after its landing and by C after its landing — pass 3 (2026-10-21); not a scenario but what every scenario executes — command</t>
        </is>
      </c>
      <c r="E1" s="3" t="inlineStr">
        <is>
          <t>Expected</t>
        </is>
      </c>
    </row>
    <row r="2">
      <c r="A2" s="4" t="inlineStr">
        <is>
          <t>after dry runs (same window, nothing written)</t>
        </is>
      </c>
      <c r="B2" s="4" t="inlineStr">
        <is>
          <t>payload row_count, duplicate_suspects, day1_hot[] and window per entity — A (B2 retired, D6) and, for the same run_ts, the table function</t>
        </is>
      </c>
      <c r="C2" s="4" t="inlineStr">
        <is>
          <t>deploy.sh dry (prints rows/dup/hot/window per entity); or curl -H "Authorization: Bearer $(gcloud auth print-identity-token)" "$URL?entity=SEALSQ&amp;dry_run=1" | python3 -c 'import json,sys;p=json.load(sys.stdin);print(p["window"],p["row_count"],p["duplicate_suspects"],sorted(p["day1_hot"]))'</t>
        </is>
      </c>
      <c r="D2" s="4" t="inlineStr">
        <is>
          <t>B2: curl -X POST -H "X-Delivery-Token: …" "$N8N_URL/webhook/new-deals-run?entity=SEALSQ&amp;dry_run=1" | same python one-liner. C: DRYRUN=1 sql/scheduled_query.sh (syntax + bytes only) and, in hubspot_dev, SELECT COUNT(*), COUNTIF(duplicate_suspect), ARRAY_AGG(IF(day1_hot_flag, deal_id, NULL) IGNORE NULLS) FROM new_deals WHERE last_seen_run = &lt;run_ts&gt;</t>
        </is>
      </c>
      <c r="E2" s="4" t="inlineStr">
        <is>
          <t>A and B2: identical window (same watermark_in, query_end within seconds), identical row_count, duplicate_suspects and day1_hot set; rows_written 0 and report_state unchanged on both. C: same deal_ids in its 14-day window minus deals created after the last transfer.</t>
        </is>
      </c>
    </row>
    <row r="3">
      <c r="A3" s="4" t="inlineStr">
        <is>
          <t>after first live run</t>
        </is>
      </c>
      <c r="B3" s="4" t="inlineStr">
        <is>
          <t>rows per entity in hubspot.new_deals; the watermark rows; the new_deals_runs rows</t>
        </is>
      </c>
      <c r="C3" s="4" t="inlineStr">
        <is>
          <t>deploy.sh probe &amp;&amp; deploy.sh status</t>
        </is>
      </c>
      <c r="D3" s="4" t="inlineStr">
        <is>
          <t>bq query --use_legacy_sql=false 'SELECT entity, COUNT(*) FROM `$PROJECT.hubspot.new_deals` GROUP BY entity'; 'SELECT report_id, watermark, lock_until FROM `$PROJECT.hubspot.report_state` ORDER BY report_id'; 'SELECT run_ts, entity, orchestrator, row_count, rows_written, status FROM `$PROJECT.hubspot.new_deals_runs` ORDER BY run_ts DESC'</t>
        </is>
      </c>
      <c r="E3" s="4" t="inlineStr">
        <is>
          <t>Per-entity counts identical whichever orchestrator ran; watermark NEW_DEALS_&lt;entity&gt; (A/B2) and NEW_DEALS_&lt;entity&gt;_C (C) == run_timestamp of that run; lock_until NULL; exactly one new_deals_runs row per run with rows_written == row_count and status OK (or OK_DELIVERY_FAILED with an error).</t>
        </is>
      </c>
    </row>
    <row r="4">
      <c r="A4" s="4" t="inlineStr">
        <is>
          <t>after a second identical run (same window, any surface)</t>
        </is>
      </c>
      <c r="B4" s="4" t="inlineStr">
        <is>
          <t>counts unchanged; last_seen_run advanced; day1_* unchanged</t>
        </is>
      </c>
      <c r="C4" s="4" t="inlineStr">
        <is>
          <t>deploy.sh run SEALSQ again (or deploy.sh replay SEALSQ &lt;previous watermark&gt;) then deploy.sh probe</t>
        </is>
      </c>
      <c r="D4" s="4" t="inlineStr">
        <is>
          <t>B2: POST the webhook again; C: bq mk --transfer_run --run_time=… again. Then: SELECT COUNT(*), COUNT(DISTINCT deal_id), MAX(last_seen_run), ANY_VALUE(day1_hot_score) FROM `$PROJECT.hubspot.new_deals` WHERE entity = 'SEALSQ'</t>
        </is>
      </c>
      <c r="E4" s="4" t="inlineStr">
        <is>
          <t>COUNT(*) == COUNT(DISTINCT deal_id) unchanged from the first run; last_seen_run == the second run_ts; day1_hot_score and first_seen_run unchanged; a second new_deals_runs row with rows_written == row_count (the MERGE updated, inserted nothing).</t>
        </is>
      </c>
    </row>
    <row r="5">
      <c r="A5" s="4" t="inlineStr">
        <is>
          <t>any time</t>
        </is>
      </c>
      <c r="B5" s="4" t="inlineStr">
        <is>
          <t>hot score v1 for one deal_id across Python / JS / SQL — tests/hot_score_vectors.*</t>
        </is>
      </c>
      <c r="C5" s="4" t="inlineStr">
        <is>
          <t>python3 -m pytest tests/test_hot_score.py tests/test_hot_score_sql_duckdb.py (Python oracle == SQL UDF on 15 vectors + 4,000 deals; the JS port retired with B2); day1_hot_score of the deal in the payload / table</t>
        </is>
      </c>
      <c r="D5" s="4" t="inlineStr">
        <is>
          <t>B2 retired (D6); C: bq query --use_legacy_sql=false &lt; tests/hot_score_vectors.sql (after sql/apply.sh) and SELECT hot_score_v1 FROM `$PROJECT.hubspot.hot_deals_v1` WHERE deal_id = '&lt;id&gt;'</t>
        </is>
      </c>
      <c r="E5" s="4" t="inlineStr">
        <is>
          <t>Raw score |Δ| &lt; 1e-9 Python vs JS, rounded score within 0.1, flags equal on all 15 vectors; every row of hot_score_vectors.sql ok = TRUE; the deal's day1_hot_score in new_deals equals the vector for the same inputs (golden: Lattice Keystone C0 ASIC ≈ 81–90 by inputs).</t>
        </is>
      </c>
    </row>
    <row r="6">
      <c r="A6" s="4" t="inlineStr">
        <is>
          <t>after write-back</t>
        </is>
      </c>
      <c r="B6" s="4" t="inlineStr">
        <is>
          <t>writeback_log vs hot_deals_v1_writeback (the delta view must be empty)</t>
        </is>
      </c>
      <c r="C6" s="4" t="inlineStr">
        <is>
          <t>n/a — A does not write back; read the same view: bq query 'SELECT COUNT(*) FROM `$PROJECT.hubspot.hot_deals_v1_writeback`'</t>
        </is>
      </c>
      <c r="D6" s="4" t="inlineStr">
        <is>
          <t>C: writeback/deploy_job.sh execute then bq query 'SELECT status, COUNT(*) FROM `$PROJECT.hubspot.writeback_log` WHERE run_ts = (SELECT MAX(run_ts) FROM `$PROJECT.hubspot.writeback_log`) GROUP BY status'; bq query 'SELECT COUNT(*) FROM `$PROJECT.hubspot.hot_deals_v1_writeback'</t>
        </is>
      </c>
      <c r="E6" s="4" t="inlineStr">
        <is>
          <t>Dry: every row status DRY, no HubSpot call, view count unchanged. Live: status OK for every candidate, 0 ERROR, and the delta view returns 0 rows until a score changes; a second execution logs nothing new (value-idempotent).</t>
        </is>
      </c>
    </row>
    <row r="7">
      <c r="A7" s="4" t="inlineStr">
        <is>
          <t>after first live run</t>
        </is>
      </c>
      <c r="B7" s="4" t="inlineStr">
        <is>
          <t>duplicate flags A vs C (for twins present in new_deals)</t>
        </is>
      </c>
      <c r="C7" s="4" t="inlineStr">
        <is>
          <t>bq query 'SELECT deal_id, duplicate_suspect, duplicate_of FROM `$PROJECT.hubspot.new_deals` WHERE duplicate_suspect ORDER BY deal_id'</t>
        </is>
      </c>
      <c r="D7" s="4" t="inlineStr">
        <is>
          <t>B2: same query after its run; C: same query after its run_time, compared only for deals whose duplicate_of ids exist in new_deals</t>
        </is>
      </c>
      <c r="E7" s="4" t="inlineStr">
        <is>
          <t>A == C on the same rule (one table function, D3); a difference can only come from the slices themselves (R41 closed).</t>
        </is>
      </c>
    </row>
    <row r="8">
      <c r="A8" s="4" t="inlineStr">
        <is>
          <t>after delivery</t>
        </is>
      </c>
      <c r="B8" s="4" t="inlineStr">
        <is>
          <t>delivered XLSX row count vs payload row_count vs new_deals_last_7d</t>
        </is>
      </c>
      <c r="C8" s="4" t="inlineStr">
        <is>
          <t>rows in the e-mailed NEW_DEALS_&lt;entity&gt;_&lt;date&gt;.xlsx (B1 tail) vs row_count in the payload / new_deals_runs</t>
        </is>
      </c>
      <c r="D8" s="4" t="inlineStr">
        <is>
          <t>B2: same workbook from the in-workflow tail; C: bq query 'SELECT entity, COUNT(*) FROM `$PROJECT.hubspot.new_deals_last_7d` GROUP BY entity'</t>
        </is>
      </c>
      <c r="E8" s="4" t="inlineStr">
        <is>
          <t>XLSX rows == row_count == rows of new_deals_last_7d for the same window; a zero-row week sends the text-only "no new deals" mail (B1).</t>
        </is>
      </c>
    </row>
    <row r="9">
      <c r="A9" s="4" t="inlineStr">
        <is>
          <t>probe from two operator surfaces (lane A)</t>
        </is>
      </c>
      <c r="B9" s="4" t="inlineStr">
        <is>
          <t>the two `probe` queries run by deploy.sh (bq CLI, Cloud Shell runbook Phase 7) and by the Workbench notebook cell 4.5 (BigQuery Python client) against the same tables</t>
        </is>
      </c>
      <c r="C9" s="4" t="inlineStr">
        <is>
          <t>deploy.sh probe — SELECT entity, COUNT(*) n, COUNTIF(day1_hot_flag) hot, COUNTIF(duplicate_suspect) dup, MIN(createdate), MAX(createdate) FROM new_deals GROUP BY entity; last 10 new_deals_runs</t>
        </is>
      </c>
      <c r="D9" s="4" t="inlineStr">
        <is>
          <t>n/a — same lane, two surfaces: notebooks/cloudbq_deploy_and_witness.ipynb cell 4.5 runs the identical SQL through bigquery.Client and prints job id, bytes processed, slot ms</t>
        </is>
      </c>
      <c r="E9" s="4" t="inlineStr">
        <is>
          <t>identical rows and counts from both surfaces (job ids differ); the notebook additionally shows hot_score_v1 reproducing the 15 golden vectors and main.hot_score agreeing with it</t>
        </is>
      </c>
    </row>
    <row r="10">
      <c r="A10" s="4" t="inlineStr">
        <is>
          <t>after first live run (pass 3 phase 1 — the root)</t>
        </is>
      </c>
      <c r="B10" s="4" t="inlineStr">
        <is>
          <t>every (run_ts, entity, orchestrator, deal_id) of new_deals_history has its row in deals_raw; the JSON carries the property names; data_gaps per run</t>
        </is>
      </c>
      <c r="C10" s="4" t="inlineStr">
        <is>
          <t>bq query 'SELECT COUNT(*) FROM `$PROJECT.hubspot.new_deals_history` h LEFT JOIN `$PROJECT.hubspot.deals_raw` r USING (run_ts, entity, orchestrator, deal_id) WHERE r.deal_id IS NULL AND h.orchestrator = ''cloud-run-function'' AND h.run_ts &gt;= TIMESTAMP ''&lt;cut-over&gt;'''</t>
        </is>
      </c>
      <c r="D10" s="4" t="inlineStr">
        <is>
          <t>C: same query with orchestrator = 'bigquery-scheduled-query' (and 'backfill' for the one-time landing); both: SELECT orchestrator, COUNTIF(JSON_VALUE(properties, '$.pipeline') IS NULL) FROM `$PROJECT.hubspot.deals_raw` GROUP BY 1; SELECT run_ts, entity, orchestrator, status, data_gaps FROM `$PROJECT.hubspot.new_deals_runs` ORDER BY run_ts DESC</t>
        </is>
      </c>
      <c r="E10" s="4" t="inlineStr">
        <is>
          <t>0 missing rows for both orchestrators; 0 NULL pipelines in the JSON; data_gaps [] on a clean lane-A run once the root's oldest deal of the last 90 days is at least 83 days old ([dedup_horizon_partial] until then — also right after the backfill; [labels_missing] when no label landed; [raw_slice_replaced] when the key was re-landed; the procedure's gaps are on the runs row, not in the payload); [source_detail_unavailable] on a clean lane-C run (plus raw_backfilled_from_current_sync when run_time is older than an hour); raw slices with no OK runs row = failed or undelivered runs plus the backfill slices, which have no runs row by design</t>
        </is>
      </c>
    </row>
    <row r="11">
      <c r="A11" s="4" t="inlineStr">
        <is>
          <t>pass 3 phase 2 — before registering the new lane-C script (dev dataset, credentials)</t>
        </is>
      </c>
      <c r="B11" s="4" t="inlineStr">
        <is>
          <t>the 15 golden vectors through the root → deals_landed_v1 → new_deals_batch_rows vs their expected score and flag; one lane-C run_ts through deals_landed_v1 vs deals_synced_v1</t>
        </is>
      </c>
      <c r="C11" s="4" t="inlineStr">
        <is>
          <t>the same table function serves lane A since phase 3 — after deploy.sh dry: SELECT deal_id, day1_hot_score FROM new_deals_batch_rows(&lt;run_ts&gt;, 'SEALSQ', 'cloud-run-function', NULL)</t>
        </is>
      </c>
      <c r="D11" s="4" t="inlineStr">
        <is>
          <t>C: sql/apply.sh against DATASET=hubspot_dev, then bq query --use_legacy_sql=false &lt; &lt;(sed "s/\${PROJECT}/$PROJECT/g; s/\${DATASET}/hubspot_dev/g" tests/pass3_batch_vectors.sql); after one transfer run at run_ts X: SELECT COUNT(*) FROM deals_landed_v1 l FULL JOIN deals_synced_v1 s USING (deal_id) WHERE l.run_ts = X AND l.orchestrator = 'bigquery-scheduled-query' AND (s.deal_id IS NULL OR l.dealname != s.dealname OR l.stage_probability != s.stage_probability OR l.amount != s.amount)</t>
        </is>
      </c>
      <c r="E11" s="4" t="inlineStr">
        <is>
          <t>every vectors row ok = TRUE (15 rows; the slice is dropped by the script); the landed/synced comparison returns 0 for deals created in the 90-day window as of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2026-10-21T19:30:46Z</dcterms:created>
  <dcterms:modified xsi:type="dcterms:W3CDTF">2026-10-21T19:30:47Z</dcterms:modified>
</cp:coreProperties>
</file>